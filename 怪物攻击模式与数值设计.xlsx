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kao\新建文件夹 (2)\godot-demo-projects-4.3\godot-demo-projects-4.3\deck_builder_tutorial-main\"/>
    </mc:Choice>
  </mc:AlternateContent>
  <bookViews>
    <workbookView windowWidth="27945" windowHeight="11655"/>
  </bookViews>
  <sheets>
    <sheet name="设计基准" sheetId="1" r:id="rId1"/>
    <sheet name="怪物总览" sheetId="2" r:id="rId2"/>
    <sheet name="招式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<sst xmlns="http://schemas.openxmlformats.org/spreadsheetml/2006/main" count="1277" uniqueCount="454">
  <si>
    <t>宝可梦怪物 · 攻击模式与数值设计基准</t>
  </si>
  <si>
    <t>换算口径参照 Slay the Spire 2 的怪物实现（src/Core/Models/Monsters）与上表已有的生命值 / 防御 / 攻击三列。</t>
  </si>
  <si>
    <t>① 攻击与防御 → 招式数值的换算系数</t>
  </si>
  <si>
    <t>类别</t>
  </si>
  <si>
    <t>轻击系数</t>
  </si>
  <si>
    <t>中击系数</t>
  </si>
  <si>
    <t>重击系数</t>
  </si>
  <si>
    <t>格挡系数</t>
  </si>
  <si>
    <t>适用范围</t>
  </si>
  <si>
    <t>普通</t>
  </si>
  <si>
    <t>种族值总和 ≤ 505（怪力）的怪物</t>
  </si>
  <si>
    <t>精英</t>
  </si>
  <si>
    <t>种族值总和 &gt; 505（怪力）的怪物，按精英数值设计</t>
  </si>
  <si>
    <t>② 公式（总览表与招式表均以公式引用本页系数，改系数会连动全表）</t>
  </si>
  <si>
    <t>轻击伤害</t>
  </si>
  <si>
    <t>攻击 × 轻击系数</t>
  </si>
  <si>
    <t/>
  </si>
  <si>
    <t>每回合都能打的小招</t>
  </si>
  <si>
    <t>中击伤害</t>
  </si>
  <si>
    <t>攻击 × 中击系数</t>
  </si>
  <si>
    <t>主力输出招</t>
  </si>
  <si>
    <t>重击伤害</t>
  </si>
  <si>
    <t>攻击 × 重击系数</t>
  </si>
  <si>
    <t>大招 / 爆发，通常放在循环末尾</t>
  </si>
  <si>
    <t>多段伤害</t>
  </si>
  <si>
    <t>每段 = 中击 ÷ 段数，总伤害 ≈ 中击</t>
  </si>
  <si>
    <t>用于克制单次大格挡</t>
  </si>
  <si>
    <t>③ STS2 原作数值参照（以下为源码中实际读到的数字，用于校准本表的档位）</t>
  </si>
  <si>
    <t>分类</t>
  </si>
  <si>
    <t>生命区间</t>
  </si>
  <si>
    <t>单次攻击伤害</t>
  </si>
  <si>
    <t>多段攻击</t>
  </si>
  <si>
    <t>格挡</t>
  </si>
  <si>
    <t>强化（力量）</t>
  </si>
  <si>
    <t>状态牌</t>
  </si>
  <si>
    <t>代表怪物</t>
  </si>
  <si>
    <t>前期弱怪</t>
  </si>
  <si>
    <t>7 – 30</t>
  </si>
  <si>
    <t>3 – 9</t>
  </si>
  <si>
    <t>3 × 2</t>
  </si>
  <si>
    <t>—</t>
  </si>
  <si>
    <t>+2</t>
  </si>
  <si>
    <t>CorpseSlug / Inklet / SneakyGremlin</t>
  </si>
  <si>
    <t>普通怪</t>
  </si>
  <si>
    <t>30 – 70</t>
  </si>
  <si>
    <t>8 – 13</t>
  </si>
  <si>
    <t>8 × 2</t>
  </si>
  <si>
    <t>5 – 6</t>
  </si>
  <si>
    <t>3 张</t>
  </si>
  <si>
    <t>Nibbit / Chomper / GremlinMerc</t>
  </si>
  <si>
    <t>高阶普通怪</t>
  </si>
  <si>
    <t>70 – 130</t>
  </si>
  <si>
    <t>15 – 19</t>
  </si>
  <si>
    <t>5 × 4</t>
  </si>
  <si>
    <t>6</t>
  </si>
  <si>
    <t>+2 – +3</t>
  </si>
  <si>
    <t>SpinyToad / MagiKnight / Mawler</t>
  </si>
  <si>
    <t>精英（前期）</t>
  </si>
  <si>
    <t>100 – 170</t>
  </si>
  <si>
    <t>15 – 20</t>
  </si>
  <si>
    <t>7 – 10 × 2 – 3</t>
  </si>
  <si>
    <t>20 – 22</t>
  </si>
  <si>
    <t>3 – 4 张</t>
  </si>
  <si>
    <t>FlailKnight / TerrorEel / InfestedPrism / Entomancer</t>
  </si>
  <si>
    <t>精英（后期）</t>
  </si>
  <si>
    <t>230 – 320</t>
  </si>
  <si>
    <t>25 – 40</t>
  </si>
  <si>
    <t>6 × 4</t>
  </si>
  <si>
    <t>15</t>
  </si>
  <si>
    <t>+3 – +5</t>
  </si>
  <si>
    <t>4 张</t>
  </si>
  <si>
    <t>SoulNexus / MechaKnight</t>
  </si>
  <si>
    <t>Boss</t>
  </si>
  <si>
    <t>220 – 420</t>
  </si>
  <si>
    <t>15 – 40</t>
  </si>
  <si>
    <t>3 – 5 × 5</t>
  </si>
  <si>
    <t>+2 – +4</t>
  </si>
  <si>
    <t>CeremonialBeast / Queen / WaterfallGiant</t>
  </si>
  <si>
    <t>本表精英落点</t>
  </si>
  <si>
    <t>213 – 290</t>
  </si>
  <si>
    <t>26 – 52</t>
  </si>
  <si>
    <t>9 – 18 × 2 – 3</t>
  </si>
  <si>
    <t>21 – 32</t>
  </si>
  <si>
    <t>+3 – +4</t>
  </si>
  <si>
    <t>2 – 3 张</t>
  </si>
  <si>
    <t>喷火龙 – 伊裴尔塔尔</t>
  </si>
  <si>
    <t>④ 精英判定与设计约定</t>
  </si>
  <si>
    <t>精英门槛</t>
  </si>
  <si>
    <t>种族值总和 &gt; 505</t>
  </si>
  <si>
    <t>怪力的种族值总和为 505，它本身仍按普通怪处理</t>
  </si>
  <si>
    <t>精英名单</t>
  </si>
  <si>
    <t>喷火龙 534 / 闪电鸟 580 / 巨金怪 600 / 基格尔德 600 / 凤王 680 / 哲尔尼亚斯 680 / 伊裤尔塔尔 680</t>
  </si>
  <si>
    <t>共 7 只</t>
  </si>
  <si>
    <t>生命取值</t>
  </si>
  <si>
    <t>沿用名单表已有的「敌怪生命值」</t>
  </si>
  <si>
    <t>精英的强度通过招式倍率、多段、自身强化与穿透机制体现</t>
  </si>
  <si>
    <t>数值对比</t>
  </si>
  <si>
    <t>怪力重击 33 → 喷火龙重击 38 → 伊裤尔塔尔重击 52</t>
  </si>
  <si>
    <t>精英重击明显高于怪力，符合「按精英数值设计」</t>
  </si>
  <si>
    <t>固定伤害 / 穿透</t>
  </si>
  <si>
    <t>对付大岩蛇（格挡 22）、巨金怪（格挡 29）、凤王（格挡 32）的主要解法</t>
  </si>
  <si>
    <t>这三只的格挡高于同档怪物</t>
  </si>
  <si>
    <t>沿用你的增益表</t>
  </si>
  <si>
    <t>涅槃（凤王）、壁垒（哲尔尼亚斯）、带电（闪电鸟）</t>
  </si>
  <si>
    <t>直接挂你表里已有的增益名称</t>
  </si>
  <si>
    <t>怪物总览（共 37 只；轻击 / 中击 / 重击 / 格挡 为公式推导）</t>
  </si>
  <si>
    <t>Name</t>
  </si>
  <si>
    <t>译名</t>
  </si>
  <si>
    <t>属性</t>
  </si>
  <si>
    <t>威胁等级</t>
  </si>
  <si>
    <t>定位</t>
  </si>
  <si>
    <t>生命值</t>
  </si>
  <si>
    <t>防御</t>
  </si>
  <si>
    <t>攻击</t>
  </si>
  <si>
    <t>随从生命值</t>
  </si>
  <si>
    <t>轻击</t>
  </si>
  <si>
    <t>中击</t>
  </si>
  <si>
    <t>重击</t>
  </si>
  <si>
    <t>意图（行动循环）</t>
  </si>
  <si>
    <t>特殊机制</t>
  </si>
  <si>
    <t>caterpie</t>
  </si>
  <si>
    <t>绿毛虫</t>
  </si>
  <si>
    <t>Bug</t>
  </si>
  <si>
    <t>干扰型</t>
  </si>
  <si>
    <r>
      <t>削弱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轻击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防御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重击（循环）</t>
    </r>
  </si>
  <si>
    <t>bounsweet</t>
  </si>
  <si>
    <t>甜竹竹</t>
  </si>
  <si>
    <t>Grass</t>
  </si>
  <si>
    <t>强化型</t>
  </si>
  <si>
    <r>
      <t>强化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轻击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防御</t>
    </r>
    <r>
      <rPr>
        <sz val="11"/>
        <rFont val="Carlito"/>
        <charset val="134"/>
      </rPr>
      <t xml:space="preserve"> </t>
    </r>
    <r>
      <rPr>
        <sz val="11"/>
        <rFont val="宋体"/>
        <charset val="134"/>
      </rPr>
      <t>（循环）</t>
    </r>
  </si>
  <si>
    <t>bunnelby</t>
  </si>
  <si>
    <t>掘掘兔</t>
  </si>
  <si>
    <t>Normal</t>
  </si>
  <si>
    <t>干扰速攻</t>
  </si>
  <si>
    <r>
      <t>削弱轻击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重击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防御</t>
    </r>
    <r>
      <rPr>
        <sz val="11"/>
        <rFont val="Carlito"/>
        <charset val="134"/>
      </rPr>
      <t xml:space="preserve"> → 2</t>
    </r>
    <r>
      <rPr>
        <sz val="11"/>
        <rFont val="宋体"/>
        <charset val="134"/>
      </rPr>
      <t>段轻击（循环）</t>
    </r>
  </si>
  <si>
    <t>mareep</t>
  </si>
  <si>
    <t>咩利羊</t>
  </si>
  <si>
    <t>Electric</t>
  </si>
  <si>
    <t>蓄力爆发</t>
  </si>
  <si>
    <r>
      <t>强化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强化</t>
    </r>
    <r>
      <rPr>
        <sz val="11"/>
        <rFont val="Carlito"/>
        <charset val="134"/>
      </rPr>
      <t xml:space="preserve">→ </t>
    </r>
    <r>
      <rPr>
        <sz val="11"/>
        <rFont val="宋体"/>
        <charset val="134"/>
      </rPr>
      <t>防御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重击（循环）</t>
    </r>
  </si>
  <si>
    <t>bellsprout</t>
  </si>
  <si>
    <t>喇叭芽</t>
  </si>
  <si>
    <t>Grass / Poison</t>
  </si>
  <si>
    <t>毒干扰</t>
  </si>
  <si>
    <r>
      <t>第一回合施加中毒</t>
    </r>
    <r>
      <rPr>
        <sz val="11"/>
        <rFont val="Carlito"/>
        <charset val="134"/>
      </rPr>
      <t xml:space="preserve"> </t>
    </r>
    <r>
      <rPr>
        <sz val="11"/>
        <rFont val="宋体"/>
        <charset val="134"/>
      </rPr>
      <t>，然后改为 轻击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防御</t>
    </r>
    <r>
      <rPr>
        <sz val="11"/>
        <rFont val="Carlito"/>
        <charset val="134"/>
      </rPr>
      <t xml:space="preserve">→ </t>
    </r>
    <r>
      <rPr>
        <sz val="11"/>
        <rFont val="宋体"/>
        <charset val="134"/>
      </rPr>
      <t>中击（循环）</t>
    </r>
  </si>
  <si>
    <t>geodude</t>
  </si>
  <si>
    <t>小拳石</t>
  </si>
  <si>
    <t>Rock / Ground</t>
  </si>
  <si>
    <t>坦克自爆</t>
  </si>
  <si>
    <r>
      <t>防御</t>
    </r>
    <r>
      <rPr>
        <sz val="11"/>
        <rFont val="Carlito"/>
        <charset val="134"/>
      </rPr>
      <t xml:space="preserve">  → </t>
    </r>
    <r>
      <rPr>
        <sz val="11"/>
        <rFont val="宋体"/>
        <charset val="134"/>
      </rPr>
      <t>中击循环；残血改为自爆</t>
    </r>
  </si>
  <si>
    <t>goomy</t>
  </si>
  <si>
    <t>黏黏宝</t>
  </si>
  <si>
    <t>Dragon</t>
  </si>
  <si>
    <t>吸血坦克</t>
  </si>
  <si>
    <t>削弱 → 轻击 → 吸血 → 防御（循环）</t>
  </si>
  <si>
    <t>corphish</t>
  </si>
  <si>
    <t>龙虾小兵</t>
  </si>
  <si>
    <t>Water</t>
  </si>
  <si>
    <t>硬壳输出</t>
  </si>
  <si>
    <t>轻击 → 防御强化 → 轻击 → 重击（循环）</t>
  </si>
  <si>
    <t>charmander</t>
  </si>
  <si>
    <t>小火龙</t>
  </si>
  <si>
    <t>Fire</t>
  </si>
  <si>
    <t>灼烧输出</t>
  </si>
  <si>
    <t>削弱 → 轻击 → 塞灼烧 → 重击（循环）</t>
  </si>
  <si>
    <t>slowpoke</t>
  </si>
  <si>
    <t>呆呆兽</t>
  </si>
  <si>
    <t>Water / Psychic</t>
  </si>
  <si>
    <t>超耐久消耗</t>
  </si>
  <si>
    <t>轻击 → 削弱 → 治疗防御 → 轻击（循环）</t>
  </si>
  <si>
    <t>bulbasaur</t>
  </si>
  <si>
    <t>妙蛙种子</t>
  </si>
  <si>
    <t>均衡消耗</t>
  </si>
  <si>
    <t>中毒 → 轻击 → 防御 → 轻击（循环）</t>
  </si>
  <si>
    <t>chikorita</t>
  </si>
  <si>
    <t>菊草叶</t>
  </si>
  <si>
    <t>纯防御</t>
  </si>
  <si>
    <r>
      <t>防御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轻击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强化</t>
    </r>
    <r>
      <rPr>
        <sz val="11"/>
        <rFont val="Carlito"/>
        <charset val="134"/>
      </rPr>
      <t xml:space="preserve"> </t>
    </r>
    <r>
      <rPr>
        <sz val="11"/>
        <rFont val="宋体"/>
        <charset val="134"/>
      </rPr>
      <t>（循环）</t>
    </r>
  </si>
  <si>
    <t>dwebble</t>
  </si>
  <si>
    <t>石居蟹</t>
  </si>
  <si>
    <t>Bug / Rock</t>
  </si>
  <si>
    <t>龟缩强化</t>
  </si>
  <si>
    <r>
      <t>防御强化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轻击</t>
    </r>
    <r>
      <rPr>
        <sz val="11"/>
        <rFont val="Carlito"/>
        <charset val="134"/>
      </rPr>
      <t xml:space="preserve">  </t>
    </r>
    <r>
      <rPr>
        <sz val="11"/>
        <rFont val="宋体"/>
        <charset val="134"/>
      </rPr>
      <t>（循环）</t>
    </r>
  </si>
  <si>
    <t>exeggcute</t>
  </si>
  <si>
    <t>蛋蛋</t>
  </si>
  <si>
    <t>Grass / Psychic</t>
  </si>
  <si>
    <t>干扰控制</t>
  </si>
  <si>
    <r>
      <t>轻击塞牌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轻击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防御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削弱（循环）</t>
    </r>
  </si>
  <si>
    <t>farfetchd</t>
  </si>
  <si>
    <t>大葱鸭</t>
  </si>
  <si>
    <t>Normal / Flying</t>
  </si>
  <si>
    <t>高攻强化</t>
  </si>
  <si>
    <r>
      <t>第一回合强化，然后</t>
    </r>
    <r>
      <rPr>
        <sz val="11"/>
        <rFont val="Carlito"/>
        <charset val="134"/>
      </rPr>
      <t xml:space="preserve">  4</t>
    </r>
    <r>
      <rPr>
        <sz val="11"/>
        <rFont val="宋体"/>
        <charset val="134"/>
      </rPr>
      <t>段轻击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重击（循环）</t>
    </r>
  </si>
  <si>
    <t>lickitung</t>
  </si>
  <si>
    <t>大舌头</t>
  </si>
  <si>
    <t>控制坦克</t>
  </si>
  <si>
    <t>削弱轻击 → 防御 → 削弱 → 轻击（循环）</t>
  </si>
  <si>
    <t>onix</t>
  </si>
  <si>
    <t>大岩蛇</t>
  </si>
  <si>
    <t>极限防御</t>
  </si>
  <si>
    <t>防御 → 轻击 → 轻击 → 轻击（循环）</t>
  </si>
  <si>
    <t>butterfree</t>
  </si>
  <si>
    <t>巴大蝶</t>
  </si>
  <si>
    <t>Bug / Flying</t>
  </si>
  <si>
    <t>状态干扰</t>
  </si>
  <si>
    <t>塞状态牌 → 轻击 → 削弱 → 轻击（循环）</t>
  </si>
  <si>
    <t>parasect</t>
  </si>
  <si>
    <t>派拉斯特</t>
  </si>
  <si>
    <t>Bug / Grass</t>
  </si>
  <si>
    <t>吸血输出</t>
  </si>
  <si>
    <t>削弱 → 多段轻击 → 吸血 → 重击（循环）</t>
  </si>
  <si>
    <t>dugtrio</t>
  </si>
  <si>
    <t>三地鼠</t>
  </si>
  <si>
    <t>Ground</t>
  </si>
  <si>
    <t>速攻爆发</t>
  </si>
  <si>
    <t>削弱 → 多段轻击 → 轻击 → 重击（循环）</t>
  </si>
  <si>
    <t>miltank</t>
  </si>
  <si>
    <t>大奶罐</t>
  </si>
  <si>
    <t>治疗坦克</t>
  </si>
  <si>
    <t>治疗 → 轻击 → 轻击 → 净化防御（循环）</t>
  </si>
  <si>
    <t>gengar</t>
  </si>
  <si>
    <t>耿鬼</t>
  </si>
  <si>
    <t>Ghost / Poison</t>
  </si>
  <si>
    <t>高攻脆皮</t>
  </si>
  <si>
    <r>
      <t>塞状态牌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削弱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轻击</t>
    </r>
    <r>
      <rPr>
        <sz val="11"/>
        <rFont val="Carlito"/>
        <charset val="134"/>
      </rPr>
      <t xml:space="preserve"> </t>
    </r>
    <r>
      <rPr>
        <sz val="11"/>
        <rFont val="宋体"/>
        <charset val="134"/>
      </rPr>
      <t>（循环）</t>
    </r>
  </si>
  <si>
    <t>heracross</t>
  </si>
  <si>
    <t>赫拉克罗斯</t>
  </si>
  <si>
    <t>Bug / Fighting</t>
  </si>
  <si>
    <t>成长输出</t>
  </si>
  <si>
    <r>
      <t>强化</t>
    </r>
    <r>
      <rPr>
        <sz val="11"/>
        <rFont val="Carlito"/>
        <charset val="134"/>
      </rPr>
      <t xml:space="preserve">  → </t>
    </r>
    <r>
      <rPr>
        <sz val="11"/>
        <rFont val="宋体"/>
        <charset val="134"/>
      </rPr>
      <t>轻击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重击（循环）</t>
    </r>
  </si>
  <si>
    <t>machamp</t>
  </si>
  <si>
    <t>怪力</t>
  </si>
  <si>
    <t>Fighting</t>
  </si>
  <si>
    <t>基准·成长爆发</t>
  </si>
  <si>
    <r>
      <t>强化</t>
    </r>
    <r>
      <rPr>
        <sz val="11"/>
        <rFont val="Carlito"/>
        <charset val="134"/>
      </rPr>
      <t xml:space="preserve">  → </t>
    </r>
    <r>
      <rPr>
        <sz val="11"/>
        <rFont val="宋体"/>
        <charset val="134"/>
      </rPr>
      <t>2段轻击</t>
    </r>
    <r>
      <rPr>
        <sz val="11"/>
        <rFont val="Carlito"/>
        <charset val="134"/>
      </rPr>
      <t xml:space="preserve"> </t>
    </r>
    <r>
      <rPr>
        <sz val="11"/>
        <rFont val="宋体"/>
        <charset val="134"/>
      </rPr>
      <t>（循环）</t>
    </r>
  </si>
  <si>
    <t>charizard</t>
  </si>
  <si>
    <t>喷火龙</t>
  </si>
  <si>
    <t>Fire / Flying</t>
  </si>
  <si>
    <t>精英·灼烧成长</t>
  </si>
  <si>
    <t>防御强化 → 轻击 → 塞灼烧 → 重击；半血后转全攻</t>
  </si>
  <si>
    <t>生命 ≤ 50% 后不再使用龙之舞，改为翅膀攻击 → 火焰旋涡 → 大字爆炎 进入狂暴</t>
  </si>
  <si>
    <t>zapdos</t>
  </si>
  <si>
    <t>闪电鸟</t>
  </si>
  <si>
    <t>Electric / Flying</t>
  </si>
  <si>
    <t>精英·塞牌压制</t>
  </si>
  <si>
    <t>防御强化 → 轻击 → 轻击 → 塞「带电」重击（循环）</t>
  </si>
  <si>
    <t>打雷往玩家牌堆塞入「带电」（出牌时对随机敌人造成 8 伤害）—— 出牌越多越痛</t>
  </si>
  <si>
    <t>metagross</t>
  </si>
  <si>
    <t>巨金怪</t>
  </si>
  <si>
    <t>Steel / Psychic</t>
  </si>
  <si>
    <t>精英·铁壁重击</t>
  </si>
  <si>
    <r>
      <t>防御强化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2段轻击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重击</t>
    </r>
    <r>
      <rPr>
        <sz val="11"/>
        <rFont val="Carlito"/>
        <charset val="134"/>
      </rPr>
      <t xml:space="preserve"> </t>
    </r>
    <r>
      <rPr>
        <sz val="11"/>
        <rFont val="宋体"/>
        <charset val="134"/>
      </rPr>
      <t>（循环）</t>
    </r>
  </si>
  <si>
    <t>攻击 115、防御 110 均为全表最高档；格挡 29 + 3 段攻击 —— 需要固定伤害或穿透</t>
  </si>
  <si>
    <t>zygarde-50</t>
  </si>
  <si>
    <t>基格尔德</t>
  </si>
  <si>
    <t>Dragon / Ground</t>
  </si>
  <si>
    <t>精英·多段压制</t>
  </si>
  <si>
    <r>
      <t>防御强化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1段轻击</t>
    </r>
    <r>
      <rPr>
        <sz val="11"/>
        <rFont val="Carlito"/>
        <charset val="134"/>
      </rPr>
      <t xml:space="preserve"> → </t>
    </r>
    <r>
      <rPr>
        <sz val="11"/>
        <rFont val="宋体"/>
        <charset val="134"/>
      </rPr>
      <t>重击（循环）</t>
    </r>
  </si>
  <si>
    <t>生命 261 + 3 段攻击，对格挡流克制，需要减伤或避闪</t>
  </si>
  <si>
    <t>ho-oh</t>
  </si>
  <si>
    <t>凤王</t>
  </si>
  <si>
    <t>精英·复活爆发</t>
  </si>
  <si>
    <t>防御强化 → 轻击 → 塞灼烧 → 重击；死亡后召唤凤凰蛋</t>
  </si>
  <si>
    <t>xerneas</t>
  </si>
  <si>
    <t>哲尔尼亚斯</t>
  </si>
  <si>
    <t>Fairy</t>
  </si>
  <si>
    <t>精英·壁垒续航</t>
  </si>
  <si>
    <t>防御强化 → 轻击 → 吸血 → 重击；格挡回合结束不消失</t>
  </si>
  <si>
    <t>「壁垒」=回合结束时格挡不消失（对应增益表），配合木角吸血构成超长线消耗战</t>
  </si>
  <si>
    <t>yveltal</t>
  </si>
  <si>
    <t>伊裴尔塔尔</t>
  </si>
  <si>
    <t>Dark / Flying</t>
  </si>
  <si>
    <t>精英·吸血压制</t>
  </si>
  <si>
    <t>强化 → 削弱轻击 → 吸血 → 塞牌重击；半血后每回合额外施加虚弱</t>
  </si>
  <si>
    <t>生命 ≤ 50% 后每回合开始给玩家 1 层虚弱；与哲尔尼亚斯对称 —— 一个续航、一个压制</t>
  </si>
  <si>
    <t>ho-oh's egg</t>
  </si>
  <si>
    <t>凤凰蛋</t>
  </si>
  <si>
    <t>特殊</t>
  </si>
  <si>
    <t>特殊·倒计时召唤</t>
  </si>
  <si>
    <t>待机 2 回合 → 召唤凤王</t>
  </si>
  <si>
    <t>生命 1；只要场上还有其它敌人就无法被选为目标 —— 本质是 2 回合倒计时</t>
  </si>
  <si>
    <t>设计自检</t>
  </si>
  <si>
    <t>精英重击最低值</t>
  </si>
  <si>
    <t>普通重击最高值</t>
  </si>
  <si>
    <t>精英重击高出普通</t>
  </si>
  <si>
    <t>招式检查异常数</t>
  </si>
  <si>
    <t>招式总数</t>
  </si>
  <si>
    <t>招式表（一行一个招式；「伤害」与「总伤害」为公式，引自怪物总览）</t>
  </si>
  <si>
    <t>招式</t>
  </si>
  <si>
    <t>意图类型</t>
  </si>
  <si>
    <t>数值档位</t>
  </si>
  <si>
    <t>伤害（每段）</t>
  </si>
  <si>
    <t>段数</t>
  </si>
  <si>
    <t>总伤害</t>
  </si>
  <si>
    <t>获得格挡</t>
  </si>
  <si>
    <t>附加效果</t>
  </si>
  <si>
    <t>备注</t>
  </si>
  <si>
    <t>检查</t>
  </si>
  <si>
    <t>吐丝</t>
  </si>
  <si>
    <t>削弱</t>
  </si>
  <si>
    <t>无</t>
  </si>
  <si>
    <t>玩家获得 1 层虚弱</t>
  </si>
  <si>
    <t>虫咬</t>
  </si>
  <si>
    <t>蜷缩</t>
  </si>
  <si>
    <t>撞击</t>
  </si>
  <si>
    <t>香甜气息</t>
  </si>
  <si>
    <t>强化</t>
  </si>
  <si>
    <t>自身 +2 力量</t>
  </si>
  <si>
    <t>光合作用</t>
  </si>
  <si>
    <t>飞叶快刀</t>
  </si>
  <si>
    <t>泥巴射击</t>
  </si>
  <si>
    <t>削弱+攻击</t>
  </si>
  <si>
    <t>挖洞</t>
  </si>
  <si>
    <t>掘地</t>
  </si>
  <si>
    <t>二连踢</t>
  </si>
  <si>
    <t>多段</t>
  </si>
  <si>
    <t>静电</t>
  </si>
  <si>
    <t>电击</t>
  </si>
  <si>
    <t>充电</t>
  </si>
  <si>
    <t>充电后下一击会带着强化落下</t>
  </si>
  <si>
    <t>电磁炮</t>
  </si>
  <si>
    <t>宝贝龙</t>
  </si>
  <si>
    <t>咬住</t>
  </si>
  <si>
    <t>毒粉</t>
  </si>
  <si>
    <t>玩家获得 2 层中毒</t>
  </si>
  <si>
    <t>藤鞄</t>
  </si>
  <si>
    <t>生长</t>
  </si>
  <si>
    <t>变硬</t>
  </si>
  <si>
    <t>岩石封锁</t>
  </si>
  <si>
    <t>攻击+削弱</t>
  </si>
  <si>
    <t>玩家获得 1 层破绽</t>
  </si>
  <si>
    <t>自爆</t>
  </si>
  <si>
    <t>自身失去 10 点生命</t>
  </si>
  <si>
    <t>仅在生命 ≤ 30% 时使用</t>
  </si>
  <si>
    <t>黏液</t>
  </si>
  <si>
    <t>玩家获得 2 层虚弱</t>
  </si>
  <si>
    <t>吸收</t>
  </si>
  <si>
    <t>攻击+吸血</t>
  </si>
  <si>
    <t>自身回复 6 点生命</t>
  </si>
  <si>
    <t>硬化</t>
  </si>
  <si>
    <t>泡沫</t>
  </si>
  <si>
    <t>硬壳</t>
  </si>
  <si>
    <t>防御+强化</t>
  </si>
  <si>
    <t>蟹钳锤</t>
  </si>
  <si>
    <t>贝壳刃</t>
  </si>
  <si>
    <t>摇尾巴</t>
  </si>
  <si>
    <t>抓</t>
  </si>
  <si>
    <t>火花</t>
  </si>
  <si>
    <t>攻击+塞牌</t>
  </si>
  <si>
    <r>
      <t>玩家弃牌堆塞入</t>
    </r>
    <r>
      <rPr>
        <sz val="11"/>
        <rFont val="Carlito"/>
        <charset val="134"/>
      </rPr>
      <t xml:space="preserve"> 1 </t>
    </r>
    <r>
      <rPr>
        <sz val="11"/>
        <rFont val="宋体"/>
        <charset val="134"/>
      </rPr>
      <t>张「灼烧」</t>
    </r>
  </si>
  <si>
    <t>火焰牙</t>
  </si>
  <si>
    <t>哈欠</t>
  </si>
  <si>
    <t>偷懒</t>
  </si>
  <si>
    <t>治疗+防御</t>
  </si>
  <si>
    <t>自身回复 8 点生命</t>
  </si>
  <si>
    <t>意念头锤</t>
  </si>
  <si>
    <t>寄生种子</t>
  </si>
  <si>
    <t>反射</t>
  </si>
  <si>
    <t>魔法叶</t>
  </si>
  <si>
    <t>缩壳</t>
  </si>
  <si>
    <t>夹击</t>
  </si>
  <si>
    <t>岩崩</t>
  </si>
  <si>
    <t>岩石爆击</t>
  </si>
  <si>
    <t>念力</t>
  </si>
  <si>
    <r>
      <t>玩家抽牌堆塞入</t>
    </r>
    <r>
      <rPr>
        <sz val="11"/>
        <rFont val="Carlito"/>
        <charset val="134"/>
      </rPr>
      <t xml:space="preserve"> 1 </t>
    </r>
    <r>
      <rPr>
        <sz val="11"/>
        <rFont val="宋体"/>
        <charset val="134"/>
      </rPr>
      <t>张「眩晕」</t>
    </r>
  </si>
  <si>
    <t>种子炸弹</t>
  </si>
  <si>
    <t>蛋壳</t>
  </si>
  <si>
    <t>催眠术</t>
  </si>
  <si>
    <t>剑舞</t>
  </si>
  <si>
    <t>自身 +3 力量</t>
  </si>
  <si>
    <t>劈开</t>
  </si>
  <si>
    <t>燕返</t>
  </si>
  <si>
    <t>大葱斩</t>
  </si>
  <si>
    <t>舌舐</t>
  </si>
  <si>
    <t>卷紧</t>
  </si>
  <si>
    <t>缠绕</t>
  </si>
  <si>
    <t>泰山压顶</t>
  </si>
  <si>
    <t>坚硬</t>
  </si>
  <si>
    <t>绑紧</t>
  </si>
  <si>
    <t>铁尾</t>
  </si>
  <si>
    <t>落石</t>
  </si>
  <si>
    <t>睡眠粉</t>
  </si>
  <si>
    <t>塞牌</t>
  </si>
  <si>
    <t>玩家抽牌堆塞入 2 张「眩晕」</t>
  </si>
  <si>
    <t>麻痹粉</t>
  </si>
  <si>
    <r>
      <t>玩家获得</t>
    </r>
    <r>
      <rPr>
        <sz val="11"/>
        <rFont val="Carlito"/>
        <charset val="134"/>
      </rPr>
      <t xml:space="preserve"> 1 </t>
    </r>
    <r>
      <rPr>
        <sz val="11"/>
        <rFont val="宋体"/>
        <charset val="134"/>
      </rPr>
      <t>层虚弱</t>
    </r>
    <r>
      <rPr>
        <sz val="11"/>
        <rFont val="Carlito"/>
        <charset val="134"/>
      </rPr>
      <t>,1</t>
    </r>
    <r>
      <rPr>
        <sz val="11"/>
        <rFont val="宋体"/>
        <charset val="134"/>
      </rPr>
      <t>层破绽</t>
    </r>
  </si>
  <si>
    <t>虫鸣</t>
  </si>
  <si>
    <t>蘑菇孢子</t>
  </si>
  <si>
    <t>连斩</t>
  </si>
  <si>
    <t>致命一击</t>
  </si>
  <si>
    <t>沙暴</t>
  </si>
  <si>
    <t>三重攻击</t>
  </si>
  <si>
    <t>地震</t>
  </si>
  <si>
    <t>喝奶</t>
  </si>
  <si>
    <t>治疗</t>
  </si>
  <si>
    <t>自身回复 20 点生命</t>
  </si>
  <si>
    <t>滚动</t>
  </si>
  <si>
    <t>治愈之铃</t>
  </si>
  <si>
    <t>防御+净化</t>
  </si>
  <si>
    <t>清除自身所有负面效果</t>
  </si>
  <si>
    <r>
      <t>玩家抽牌堆塞入</t>
    </r>
    <r>
      <rPr>
        <sz val="11"/>
        <rFont val="Carlito"/>
        <charset val="134"/>
      </rPr>
      <t xml:space="preserve"> 2 </t>
    </r>
    <r>
      <rPr>
        <sz val="11"/>
        <rFont val="宋体"/>
        <charset val="134"/>
      </rPr>
      <t>张「眩晕」</t>
    </r>
  </si>
  <si>
    <t>暗影球</t>
  </si>
  <si>
    <t>食梦</t>
  </si>
  <si>
    <t>角撞</t>
  </si>
  <si>
    <t>猛扑</t>
  </si>
  <si>
    <t>超级角击</t>
  </si>
  <si>
    <t>健美</t>
  </si>
  <si>
    <t>空手劈</t>
  </si>
  <si>
    <t>十字劈</t>
  </si>
  <si>
    <t>地球上投</t>
  </si>
  <si>
    <t>龙之舞</t>
  </si>
  <si>
    <t>半血后不再使用</t>
  </si>
  <si>
    <t>翅膀攻击</t>
  </si>
  <si>
    <t>火焰旋涡</t>
  </si>
  <si>
    <t>玩家抽牌堆塞入 2 张「灼烧」</t>
  </si>
  <si>
    <t>大字爆炎</t>
  </si>
  <si>
    <t>电光一闪</t>
  </si>
  <si>
    <t>十万伏特</t>
  </si>
  <si>
    <t>打雷</t>
  </si>
  <si>
    <t>铁壁</t>
  </si>
  <si>
    <t>子弹拳</t>
  </si>
  <si>
    <t>彗星拳</t>
  </si>
  <si>
    <t>盘蜷</t>
  </si>
  <si>
    <r>
      <t>轻击段数</t>
    </r>
    <r>
      <rPr>
        <sz val="11"/>
        <rFont val="Carlito"/>
        <charset val="134"/>
      </rPr>
      <t>+1</t>
    </r>
  </si>
  <si>
    <t>大地神力</t>
  </si>
  <si>
    <t>千箭齐发</t>
  </si>
  <si>
    <t>核心惩罚</t>
  </si>
  <si>
    <t>涅槃</t>
  </si>
  <si>
    <r>
      <t>自身</t>
    </r>
    <r>
      <rPr>
        <sz val="11"/>
        <rFont val="Carlito"/>
        <charset val="134"/>
      </rPr>
      <t xml:space="preserve"> +4 </t>
    </r>
    <r>
      <rPr>
        <sz val="11"/>
        <rFont val="宋体"/>
        <charset val="134"/>
      </rPr>
      <t>力量</t>
    </r>
  </si>
  <si>
    <t>神鸟猛击</t>
  </si>
  <si>
    <t>圣火</t>
  </si>
  <si>
    <t>玩家抽牌堆塞入 3 张「灼烧」</t>
  </si>
  <si>
    <t>大地掌控</t>
  </si>
  <si>
    <r>
      <t>自身</t>
    </r>
    <r>
      <rPr>
        <sz val="11"/>
        <rFont val="Carlito"/>
        <charset val="134"/>
      </rPr>
      <t xml:space="preserve"> +4 </t>
    </r>
    <r>
      <rPr>
        <sz val="11"/>
        <rFont val="宋体"/>
        <charset val="134"/>
      </rPr>
      <t>力量，并获得</t>
    </r>
    <r>
      <rPr>
        <sz val="11"/>
        <rFont val="Carlito"/>
        <charset val="134"/>
      </rPr>
      <t>9</t>
    </r>
    <r>
      <rPr>
        <sz val="11"/>
        <rFont val="宋体"/>
        <charset val="134"/>
      </rPr>
      <t>「壁垒」</t>
    </r>
  </si>
  <si>
    <t>壁垒：回合结束时格挡不消失</t>
  </si>
  <si>
    <t>月亮之力</t>
  </si>
  <si>
    <t>木角</t>
  </si>
  <si>
    <t>自身回复 15 点生命</t>
  </si>
  <si>
    <t>妖精之锁</t>
  </si>
  <si>
    <t>暗黑气场</t>
  </si>
  <si>
    <t>自身 +4 力量</t>
  </si>
  <si>
    <t>恶之波动</t>
  </si>
  <si>
    <r>
      <t>玩家获得</t>
    </r>
    <r>
      <rPr>
        <sz val="11"/>
        <rFont val="Carlito"/>
        <charset val="134"/>
      </rPr>
      <t xml:space="preserve"> 2 </t>
    </r>
    <r>
      <rPr>
        <sz val="11"/>
        <rFont val="宋体"/>
        <charset val="134"/>
      </rPr>
      <t>层破绽</t>
    </r>
  </si>
  <si>
    <t>死亡之翼</t>
  </si>
  <si>
    <t>死亡诅咒</t>
  </si>
  <si>
    <r>
      <t>玩家手牌塞入</t>
    </r>
    <r>
      <rPr>
        <sz val="11"/>
        <rFont val="Carlito"/>
        <charset val="134"/>
      </rPr>
      <t xml:space="preserve"> 2 </t>
    </r>
    <r>
      <rPr>
        <sz val="11"/>
        <rFont val="宋体"/>
        <charset val="134"/>
      </rPr>
      <t>张「毁灭之羽」</t>
    </r>
  </si>
  <si>
    <t>半血后每回合开始给玩家 1 层虚弱</t>
  </si>
  <si>
    <t>待机</t>
  </si>
  <si>
    <t>不做任何动作</t>
  </si>
  <si>
    <t>存在其它敌人时不可被选为目标</t>
  </si>
  <si>
    <t>孵化</t>
  </si>
  <si>
    <t>召唤</t>
  </si>
  <si>
    <t>召唤凤王，蛋自身消失</t>
  </si>
  <si>
    <r>
      <t>仅在出场后第</t>
    </r>
    <r>
      <rPr>
        <sz val="11"/>
        <rFont val="Carlito"/>
        <charset val="134"/>
      </rPr>
      <t xml:space="preserve"> 2 </t>
    </r>
    <r>
      <rPr>
        <sz val="11"/>
        <rFont val="宋体"/>
        <charset val="134"/>
      </rPr>
      <t>回合结束后触发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</si>
</sst>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</numFmts>
  <fonts count="32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0"/>
      <color rgb="FFFFFFFF"/>
      <name val="Carlito"/>
      <charset val="134"/>
    </font>
    <font>
      <b/>
      <sz val="11"/>
      <name val="Carlito"/>
      <charset val="134"/>
    </font>
    <font>
      <b/>
      <sz val="11"/>
      <color rgb="FF2E7D32"/>
      <name val="Carlito"/>
      <charset val="134"/>
    </font>
    <font>
      <sz val="11"/>
      <name val="宋体"/>
      <charset val="134"/>
    </font>
    <font>
      <sz val="9"/>
      <color rgb="FF7F7F7F"/>
      <name val="Carlito"/>
      <charset val="134"/>
    </font>
    <font>
      <b/>
      <sz val="10"/>
      <color rgb="FF1F3A5F"/>
      <name val="Carlito"/>
      <charset val="134"/>
    </font>
    <font>
      <sz val="10"/>
      <name val="Carlito"/>
      <charset val="134"/>
    </font>
    <font>
      <b/>
      <sz val="10"/>
      <color rgb="FF2E7D32"/>
      <name val="Carlito"/>
      <charset val="134"/>
    </font>
    <font>
      <i/>
      <sz val="10"/>
      <color rgb="FF44546A"/>
      <name val="Carlito"/>
      <charset val="134"/>
    </font>
    <font>
      <b/>
      <sz val="11"/>
      <color rgb="FF1F3A5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2263F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4" applyNumberFormat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9" borderId="4" applyNumberFormat="0" applyAlignment="0" applyProtection="0">
      <alignment vertical="center"/>
    </xf>
    <xf numFmtId="0" fontId="24" fillId="10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49"/>
    <xf numFmtId="0" fontId="1" fillId="2" borderId="0" xfId="49" applyNumberFormat="1" applyFont="1" applyFill="1" applyBorder="1"/>
    <xf numFmtId="0" fontId="2" fillId="3" borderId="0" xfId="49" applyNumberFormat="1" applyFont="1" applyFill="1" applyBorder="1"/>
    <xf numFmtId="3" fontId="0" fillId="0" borderId="0" xfId="49" applyNumberFormat="1" applyFont="1" applyFill="1" applyBorder="1"/>
    <xf numFmtId="3" fontId="3" fillId="0" borderId="0" xfId="49" applyNumberFormat="1" applyFont="1" applyFill="1" applyBorder="1"/>
    <xf numFmtId="0" fontId="4" fillId="0" borderId="0" xfId="49" applyNumberFormat="1" applyFont="1" applyFill="1" applyBorder="1"/>
    <xf numFmtId="0" fontId="5" fillId="0" borderId="0" xfId="49" applyFont="1"/>
    <xf numFmtId="0" fontId="6" fillId="0" borderId="0" xfId="49" applyNumberFormat="1" applyFont="1" applyFill="1" applyBorder="1"/>
    <xf numFmtId="176" fontId="0" fillId="0" borderId="0" xfId="49" applyNumberFormat="1" applyFont="1" applyFill="1" applyBorder="1"/>
    <xf numFmtId="0" fontId="5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7" fillId="4" borderId="0" xfId="49" applyNumberFormat="1" applyFont="1" applyFill="1" applyBorder="1"/>
    <xf numFmtId="0" fontId="8" fillId="0" borderId="0" xfId="49" applyNumberFormat="1" applyFont="1" applyFill="1" applyBorder="1"/>
    <xf numFmtId="3" fontId="8" fillId="0" borderId="0" xfId="49" applyNumberFormat="1" applyFont="1" applyFill="1" applyBorder="1"/>
    <xf numFmtId="0" fontId="9" fillId="0" borderId="0" xfId="49" applyNumberFormat="1" applyFont="1" applyFill="1" applyBorder="1"/>
    <xf numFmtId="0" fontId="10" fillId="0" borderId="0" xfId="49" applyNumberFormat="1" applyFont="1" applyFill="1" applyBorder="1"/>
    <xf numFmtId="0" fontId="11" fillId="4" borderId="0" xfId="49" applyNumberFormat="1" applyFont="1" applyFill="1" applyBorder="1"/>
    <xf numFmtId="0" fontId="0" fillId="5" borderId="0" xfId="49" applyNumberFormat="1" applyFont="1" applyFill="1" applyBorder="1"/>
    <xf numFmtId="2" fontId="0" fillId="5" borderId="0" xfId="49" applyNumberFormat="1" applyFont="1" applyFill="1" applyBorder="1"/>
    <xf numFmtId="0" fontId="0" fillId="6" borderId="0" xfId="49" applyNumberFormat="1" applyFont="1" applyFill="1" applyBorder="1"/>
    <xf numFmtId="2" fontId="0" fillId="6" borderId="0" xfId="49" applyNumberFormat="1" applyFont="1" applyFill="1" applyBorder="1"/>
    <xf numFmtId="0" fontId="0" fillId="0" borderId="0" xfId="49" applyNumberFormat="1" applyFont="1" applyFill="1" applyBorder="1" applyAlignment="1"/>
    <xf numFmtId="0" fontId="0" fillId="6" borderId="0" xfId="49" applyNumberFormat="1" applyFont="1" applyFill="1" applyBorder="1" applyAlignment="1"/>
    <xf numFmtId="0" fontId="8" fillId="0" borderId="0" xfId="49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ill>
        <patternFill patternType="solid">
          <bgColor rgb="FFFCE4D6"/>
        </patternFill>
      </fill>
    </dxf>
    <dxf>
      <fill>
        <patternFill patternType="solid">
          <bgColor rgb="FFE4DFE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topLeftCell="A2" workbookViewId="0">
      <selection activeCell="A1" sqref="A1:F1"/>
    </sheetView>
  </sheetViews>
  <sheetFormatPr defaultColWidth="9" defaultRowHeight="14.25" outlineLevelCol="7"/>
  <cols>
    <col min="1" max="1" width="20" customWidth="1"/>
    <col min="2" max="2" width="30" customWidth="1"/>
    <col min="3" max="3" width="18" customWidth="1"/>
    <col min="4" max="4" width="22" customWidth="1"/>
    <col min="5" max="5" width="18" customWidth="1"/>
    <col min="6" max="6" width="26" customWidth="1"/>
    <col min="7" max="8" width="30" customWidth="1"/>
  </cols>
  <sheetData>
    <row r="1" ht="30" customHeight="1" spans="1:8">
      <c r="A1" s="1" t="s">
        <v>0</v>
      </c>
      <c r="B1" s="1"/>
      <c r="C1" s="1"/>
      <c r="D1" s="1"/>
      <c r="E1" s="1"/>
      <c r="F1" s="1"/>
    </row>
    <row r="2" ht="18" customHeight="1" spans="1:8">
      <c r="A2" s="15" t="s">
        <v>1</v>
      </c>
      <c r="B2" s="15"/>
      <c r="C2" s="15"/>
      <c r="D2" s="15"/>
      <c r="E2" s="15"/>
      <c r="F2" s="15"/>
    </row>
    <row r="4" ht="15" spans="1:8">
      <c r="A4" s="16" t="s">
        <v>2</v>
      </c>
      <c r="B4" s="16"/>
      <c r="C4" s="16"/>
      <c r="D4" s="16"/>
      <c r="E4" s="16"/>
      <c r="F4" s="16"/>
    </row>
    <row r="5" spans="1:8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>
      <c r="A6" s="17" t="s">
        <v>9</v>
      </c>
      <c r="B6" s="18">
        <v>0.16</v>
      </c>
      <c r="C6" s="18">
        <v>0.24</v>
      </c>
      <c r="D6" s="18">
        <v>0.34</v>
      </c>
      <c r="E6" s="18">
        <v>0.22</v>
      </c>
      <c r="F6" s="17" t="s">
        <v>10</v>
      </c>
    </row>
    <row r="7" spans="1:8">
      <c r="A7" s="19" t="s">
        <v>11</v>
      </c>
      <c r="B7" s="20">
        <v>0.2</v>
      </c>
      <c r="C7" s="20">
        <v>0.3</v>
      </c>
      <c r="D7" s="20">
        <v>0.4</v>
      </c>
      <c r="E7" s="20">
        <v>0.26</v>
      </c>
      <c r="F7" s="19" t="s">
        <v>12</v>
      </c>
    </row>
    <row r="9" ht="15" spans="1:8">
      <c r="A9" s="16" t="s">
        <v>13</v>
      </c>
      <c r="B9" s="16"/>
      <c r="C9" s="16"/>
      <c r="D9" s="16"/>
      <c r="E9" s="16"/>
      <c r="F9" s="16"/>
    </row>
    <row r="10" spans="1:8">
      <c r="A10" s="21" t="s">
        <v>14</v>
      </c>
      <c r="B10" s="21" t="s">
        <v>15</v>
      </c>
      <c r="C10" s="21" t="s">
        <v>16</v>
      </c>
      <c r="D10" s="21" t="s">
        <v>16</v>
      </c>
      <c r="E10" s="21" t="s">
        <v>16</v>
      </c>
      <c r="F10" s="21" t="s">
        <v>17</v>
      </c>
    </row>
    <row r="11" spans="1:8">
      <c r="A11" s="21" t="s">
        <v>18</v>
      </c>
      <c r="B11" s="21" t="s">
        <v>19</v>
      </c>
      <c r="C11" s="21" t="s">
        <v>16</v>
      </c>
      <c r="D11" s="21" t="s">
        <v>16</v>
      </c>
      <c r="E11" s="21" t="s">
        <v>16</v>
      </c>
      <c r="F11" s="21" t="s">
        <v>20</v>
      </c>
    </row>
    <row r="12" spans="1:8">
      <c r="A12" s="21" t="s">
        <v>21</v>
      </c>
      <c r="B12" s="21" t="s">
        <v>22</v>
      </c>
      <c r="C12" s="21" t="s">
        <v>16</v>
      </c>
      <c r="D12" s="21" t="s">
        <v>16</v>
      </c>
      <c r="E12" s="21" t="s">
        <v>16</v>
      </c>
      <c r="F12" s="21" t="s">
        <v>23</v>
      </c>
    </row>
    <row r="13" spans="1:8">
      <c r="A13" s="21" t="s">
        <v>24</v>
      </c>
      <c r="B13" s="21" t="s">
        <v>25</v>
      </c>
      <c r="C13" s="21" t="s">
        <v>16</v>
      </c>
      <c r="D13" s="21" t="s">
        <v>16</v>
      </c>
      <c r="E13" s="21" t="s">
        <v>16</v>
      </c>
      <c r="F13" s="21" t="s">
        <v>26</v>
      </c>
    </row>
    <row r="15" ht="15" spans="1:8">
      <c r="A15" s="16" t="s">
        <v>27</v>
      </c>
      <c r="B15" s="16"/>
      <c r="C15" s="16"/>
      <c r="D15" s="16"/>
      <c r="E15" s="16"/>
      <c r="F15" s="16"/>
    </row>
    <row r="16" spans="1:8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35</v>
      </c>
    </row>
    <row r="17" spans="1:8">
      <c r="A17" s="21" t="s">
        <v>36</v>
      </c>
      <c r="B17" s="21" t="s">
        <v>37</v>
      </c>
      <c r="C17" s="21" t="s">
        <v>38</v>
      </c>
      <c r="D17" s="21" t="s">
        <v>39</v>
      </c>
      <c r="E17" s="21" t="s">
        <v>40</v>
      </c>
      <c r="F17" s="21" t="s">
        <v>41</v>
      </c>
      <c r="G17" s="21" t="s">
        <v>40</v>
      </c>
      <c r="H17" s="21" t="s">
        <v>42</v>
      </c>
    </row>
    <row r="18" spans="1:8">
      <c r="A18" s="21" t="s">
        <v>43</v>
      </c>
      <c r="B18" s="21" t="s">
        <v>44</v>
      </c>
      <c r="C18" s="21" t="s">
        <v>45</v>
      </c>
      <c r="D18" s="21" t="s">
        <v>46</v>
      </c>
      <c r="E18" s="21" t="s">
        <v>47</v>
      </c>
      <c r="F18" s="21" t="s">
        <v>41</v>
      </c>
      <c r="G18" s="21" t="s">
        <v>48</v>
      </c>
      <c r="H18" s="21" t="s">
        <v>49</v>
      </c>
    </row>
    <row r="19" spans="1:8">
      <c r="A19" s="21" t="s">
        <v>50</v>
      </c>
      <c r="B19" s="21" t="s">
        <v>51</v>
      </c>
      <c r="C19" s="21" t="s">
        <v>52</v>
      </c>
      <c r="D19" s="21" t="s">
        <v>53</v>
      </c>
      <c r="E19" s="21" t="s">
        <v>54</v>
      </c>
      <c r="F19" s="21" t="s">
        <v>55</v>
      </c>
      <c r="G19" s="21" t="s">
        <v>48</v>
      </c>
      <c r="H19" s="21" t="s">
        <v>56</v>
      </c>
    </row>
    <row r="20" spans="1:8">
      <c r="A20" s="21" t="s">
        <v>57</v>
      </c>
      <c r="B20" s="21" t="s">
        <v>58</v>
      </c>
      <c r="C20" s="21" t="s">
        <v>59</v>
      </c>
      <c r="D20" s="21" t="s">
        <v>60</v>
      </c>
      <c r="E20" s="21" t="s">
        <v>61</v>
      </c>
      <c r="F20" s="21" t="s">
        <v>55</v>
      </c>
      <c r="G20" s="21" t="s">
        <v>62</v>
      </c>
      <c r="H20" s="21" t="s">
        <v>63</v>
      </c>
    </row>
    <row r="21" spans="1:8">
      <c r="A21" s="21" t="s">
        <v>64</v>
      </c>
      <c r="B21" s="21" t="s">
        <v>65</v>
      </c>
      <c r="C21" s="21" t="s">
        <v>66</v>
      </c>
      <c r="D21" s="21" t="s">
        <v>67</v>
      </c>
      <c r="E21" s="21" t="s">
        <v>68</v>
      </c>
      <c r="F21" s="21" t="s">
        <v>69</v>
      </c>
      <c r="G21" s="21" t="s">
        <v>70</v>
      </c>
      <c r="H21" s="21" t="s">
        <v>71</v>
      </c>
    </row>
    <row r="22" spans="1:8">
      <c r="A22" s="22" t="s">
        <v>72</v>
      </c>
      <c r="B22" s="22" t="s">
        <v>73</v>
      </c>
      <c r="C22" s="22" t="s">
        <v>74</v>
      </c>
      <c r="D22" s="22" t="s">
        <v>75</v>
      </c>
      <c r="E22" s="22" t="s">
        <v>68</v>
      </c>
      <c r="F22" s="22" t="s">
        <v>76</v>
      </c>
      <c r="G22" s="22" t="s">
        <v>70</v>
      </c>
      <c r="H22" s="22" t="s">
        <v>77</v>
      </c>
    </row>
    <row r="23" spans="1:8">
      <c r="A23" s="21" t="s">
        <v>78</v>
      </c>
      <c r="B23" s="21" t="s">
        <v>79</v>
      </c>
      <c r="C23" s="21" t="s">
        <v>80</v>
      </c>
      <c r="D23" s="21" t="s">
        <v>81</v>
      </c>
      <c r="E23" s="21" t="s">
        <v>82</v>
      </c>
      <c r="F23" s="21" t="s">
        <v>83</v>
      </c>
      <c r="G23" s="21" t="s">
        <v>84</v>
      </c>
      <c r="H23" s="21" t="s">
        <v>85</v>
      </c>
    </row>
    <row r="25" ht="15" spans="1:8">
      <c r="A25" s="16" t="s">
        <v>86</v>
      </c>
      <c r="B25" s="16"/>
      <c r="C25" s="16"/>
      <c r="D25" s="16"/>
      <c r="E25" s="16"/>
      <c r="F25" s="16"/>
    </row>
    <row r="26" spans="1:8">
      <c r="A26" s="23" t="s">
        <v>87</v>
      </c>
      <c r="B26" s="23" t="s">
        <v>88</v>
      </c>
      <c r="C26" s="23" t="s">
        <v>16</v>
      </c>
      <c r="D26" s="23" t="s">
        <v>16</v>
      </c>
      <c r="E26" s="23" t="s">
        <v>16</v>
      </c>
      <c r="F26" s="23" t="s">
        <v>89</v>
      </c>
    </row>
    <row r="27" spans="1:8">
      <c r="A27" s="23" t="s">
        <v>90</v>
      </c>
      <c r="B27" s="23" t="s">
        <v>91</v>
      </c>
      <c r="C27" s="23" t="s">
        <v>16</v>
      </c>
      <c r="D27" s="23" t="s">
        <v>16</v>
      </c>
      <c r="E27" s="23" t="s">
        <v>16</v>
      </c>
      <c r="F27" s="23" t="s">
        <v>92</v>
      </c>
    </row>
    <row r="28" spans="1:8">
      <c r="A28" s="23" t="s">
        <v>93</v>
      </c>
      <c r="B28" s="23" t="s">
        <v>94</v>
      </c>
      <c r="C28" s="23" t="s">
        <v>16</v>
      </c>
      <c r="D28" s="23" t="s">
        <v>16</v>
      </c>
      <c r="E28" s="23" t="s">
        <v>16</v>
      </c>
      <c r="F28" s="23" t="s">
        <v>95</v>
      </c>
    </row>
    <row r="29" spans="1:8">
      <c r="A29" s="23" t="s">
        <v>96</v>
      </c>
      <c r="B29" s="23" t="s">
        <v>97</v>
      </c>
      <c r="C29" s="23" t="s">
        <v>16</v>
      </c>
      <c r="D29" s="23" t="s">
        <v>16</v>
      </c>
      <c r="E29" s="23" t="s">
        <v>16</v>
      </c>
      <c r="F29" s="23" t="s">
        <v>98</v>
      </c>
    </row>
    <row r="30" spans="1:8">
      <c r="A30" s="23" t="s">
        <v>99</v>
      </c>
      <c r="B30" s="23" t="s">
        <v>100</v>
      </c>
      <c r="C30" s="23" t="s">
        <v>16</v>
      </c>
      <c r="D30" s="23" t="s">
        <v>16</v>
      </c>
      <c r="E30" s="23" t="s">
        <v>16</v>
      </c>
      <c r="F30" s="23" t="s">
        <v>101</v>
      </c>
    </row>
    <row r="31" spans="1:8">
      <c r="A31" s="23" t="s">
        <v>102</v>
      </c>
      <c r="B31" s="23" t="s">
        <v>103</v>
      </c>
      <c r="C31" s="23" t="s">
        <v>16</v>
      </c>
      <c r="D31" s="23" t="s">
        <v>16</v>
      </c>
      <c r="E31" s="23" t="s">
        <v>16</v>
      </c>
      <c r="F31" s="23" t="s">
        <v>104</v>
      </c>
    </row>
  </sheetData>
  <mergeCells count="6">
    <mergeCell ref="A1:F1"/>
    <mergeCell ref="A2:F2"/>
    <mergeCell ref="A4:F4"/>
    <mergeCell ref="A9:F9"/>
    <mergeCell ref="A15:H15"/>
    <mergeCell ref="A25:F2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topLeftCell="A5" workbookViewId="0">
      <selection activeCell="B15" sqref="B15"/>
    </sheetView>
  </sheetViews>
  <sheetFormatPr defaultColWidth="9" defaultRowHeight="14.25"/>
  <cols>
    <col min="1" max="1" width="14" customWidth="1"/>
    <col min="2" max="2" width="12" customWidth="1"/>
    <col min="3" max="3" width="14" customWidth="1"/>
    <col min="4" max="4" width="10" customWidth="1"/>
    <col min="5" max="5" width="8" customWidth="1"/>
    <col min="6" max="6" width="16" customWidth="1"/>
    <col min="7" max="7" width="10" customWidth="1"/>
    <col min="8" max="9" width="8" customWidth="1"/>
    <col min="10" max="10" width="12" customWidth="1"/>
    <col min="11" max="14" width="8" customWidth="1"/>
    <col min="15" max="15" width="46" customWidth="1"/>
    <col min="16" max="16" width="74" customWidth="1"/>
  </cols>
  <sheetData>
    <row r="1" ht="30" customHeight="1" spans="1:16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>
      <c r="A3" s="2" t="s">
        <v>106</v>
      </c>
      <c r="B3" s="2" t="s">
        <v>107</v>
      </c>
      <c r="C3" s="2" t="s">
        <v>108</v>
      </c>
      <c r="D3" s="2" t="s">
        <v>109</v>
      </c>
      <c r="E3" s="2" t="s">
        <v>3</v>
      </c>
      <c r="F3" s="2" t="s">
        <v>110</v>
      </c>
      <c r="G3" s="2" t="s">
        <v>111</v>
      </c>
      <c r="H3" s="2" t="s">
        <v>112</v>
      </c>
      <c r="I3" s="2" t="s">
        <v>113</v>
      </c>
      <c r="J3" s="2" t="s">
        <v>114</v>
      </c>
      <c r="K3" s="2" t="s">
        <v>115</v>
      </c>
      <c r="L3" s="2" t="s">
        <v>116</v>
      </c>
      <c r="M3" s="2" t="s">
        <v>117</v>
      </c>
      <c r="N3" s="2" t="s">
        <v>32</v>
      </c>
      <c r="O3" s="2" t="s">
        <v>118</v>
      </c>
      <c r="P3" s="2" t="s">
        <v>119</v>
      </c>
    </row>
    <row r="4" ht="30" customHeight="1" spans="1:16">
      <c r="A4" s="7" t="s">
        <v>120</v>
      </c>
      <c r="B4" t="s">
        <v>121</v>
      </c>
      <c r="C4" t="s">
        <v>122</v>
      </c>
      <c r="D4">
        <v>1</v>
      </c>
      <c r="E4" t="s">
        <v>9</v>
      </c>
      <c r="F4" t="s">
        <v>123</v>
      </c>
      <c r="G4" s="8">
        <v>160</v>
      </c>
      <c r="H4" s="8">
        <v>27</v>
      </c>
      <c r="I4" s="8">
        <v>25</v>
      </c>
      <c r="J4" s="8">
        <v>32</v>
      </c>
      <c r="K4" s="4">
        <f>ROUND(I4*IF($E4="精英",设计基准!$B$7,设计基准!$B$6),0)</f>
        <v>4</v>
      </c>
      <c r="L4" s="4">
        <f>ROUND(I4*IF($E4="精英",设计基准!$C$7,设计基准!$C$6),0)</f>
        <v>6</v>
      </c>
      <c r="M4" s="4">
        <f>ROUND(I4*IF($E4="精英",设计基准!$D$7,设计基准!$D$6),0)</f>
        <v>9</v>
      </c>
      <c r="N4" s="4">
        <f>ROUND(H4*IF($E4="精英",设计基准!$E$7,设计基准!$E$6),0)</f>
        <v>6</v>
      </c>
      <c r="O4" s="9" t="s">
        <v>124</v>
      </c>
      <c r="P4" s="10" t="s">
        <v>16</v>
      </c>
    </row>
    <row r="5" ht="30" customHeight="1" spans="1:16">
      <c r="A5" s="7" t="s">
        <v>125</v>
      </c>
      <c r="B5" t="s">
        <v>126</v>
      </c>
      <c r="C5" t="s">
        <v>127</v>
      </c>
      <c r="D5">
        <v>1</v>
      </c>
      <c r="E5" t="s">
        <v>9</v>
      </c>
      <c r="F5" t="s">
        <v>128</v>
      </c>
      <c r="G5" s="8">
        <v>155.2</v>
      </c>
      <c r="H5" s="8">
        <v>38</v>
      </c>
      <c r="I5" s="8">
        <v>30</v>
      </c>
      <c r="J5" s="8">
        <v>31</v>
      </c>
      <c r="K5" s="4">
        <f>ROUND(I5*IF($E5="精英",设计基准!$B$7,设计基准!$B$6),0)</f>
        <v>5</v>
      </c>
      <c r="L5" s="4">
        <f>ROUND(I5*IF($E5="精英",设计基准!$C$7,设计基准!$C$6),0)</f>
        <v>7</v>
      </c>
      <c r="M5" s="4">
        <f>ROUND(I5*IF($E5="精英",设计基准!$D$7,设计基准!$D$6),0)</f>
        <v>10</v>
      </c>
      <c r="N5" s="4">
        <f>ROUND(H5*IF($E5="精英",设计基准!$E$7,设计基准!$E$6),0)</f>
        <v>8</v>
      </c>
      <c r="O5" s="9" t="s">
        <v>129</v>
      </c>
      <c r="P5" s="10" t="s">
        <v>16</v>
      </c>
    </row>
    <row r="6" ht="30" customHeight="1" spans="1:16">
      <c r="A6" s="7" t="s">
        <v>130</v>
      </c>
      <c r="B6" t="s">
        <v>131</v>
      </c>
      <c r="C6" t="s">
        <v>132</v>
      </c>
      <c r="D6">
        <v>1</v>
      </c>
      <c r="E6" t="s">
        <v>9</v>
      </c>
      <c r="F6" t="s">
        <v>133</v>
      </c>
      <c r="G6" s="8">
        <v>148.8</v>
      </c>
      <c r="H6" s="8">
        <v>37</v>
      </c>
      <c r="I6" s="8">
        <v>34</v>
      </c>
      <c r="J6" s="8">
        <v>29</v>
      </c>
      <c r="K6" s="4">
        <f>ROUND(I6*IF($E6="精英",设计基准!$B$7,设计基准!$B$6),0)</f>
        <v>5</v>
      </c>
      <c r="L6" s="4">
        <f>ROUND(I6*IF($E6="精英",设计基准!$C$7,设计基准!$C$6),0)</f>
        <v>8</v>
      </c>
      <c r="M6" s="4">
        <f>ROUND(I6*IF($E6="精英",设计基准!$D$7,设计基准!$D$6),0)</f>
        <v>12</v>
      </c>
      <c r="N6" s="4">
        <f>ROUND(H6*IF($E6="精英",设计基准!$E$7,设计基准!$E$6),0)</f>
        <v>8</v>
      </c>
      <c r="O6" s="9" t="s">
        <v>134</v>
      </c>
      <c r="P6" s="10" t="s">
        <v>16</v>
      </c>
    </row>
    <row r="7" ht="30" customHeight="1" spans="1:16">
      <c r="A7" s="7" t="s">
        <v>135</v>
      </c>
      <c r="B7" t="s">
        <v>136</v>
      </c>
      <c r="C7" t="s">
        <v>137</v>
      </c>
      <c r="D7">
        <v>1</v>
      </c>
      <c r="E7" t="s">
        <v>9</v>
      </c>
      <c r="F7" t="s">
        <v>138</v>
      </c>
      <c r="G7" s="8">
        <v>176</v>
      </c>
      <c r="H7" s="8">
        <v>42</v>
      </c>
      <c r="I7" s="8">
        <v>52</v>
      </c>
      <c r="J7" s="8">
        <v>35</v>
      </c>
      <c r="K7" s="4">
        <f>ROUND(I7*IF($E7="精英",设计基准!$B$7,设计基准!$B$6),0)</f>
        <v>8</v>
      </c>
      <c r="L7" s="4">
        <f>ROUND(I7*IF($E7="精英",设计基准!$C$7,设计基准!$C$6),0)</f>
        <v>12</v>
      </c>
      <c r="M7" s="4">
        <f>ROUND(I7*IF($E7="精英",设计基准!$D$7,设计基准!$D$6),0)</f>
        <v>18</v>
      </c>
      <c r="N7" s="4">
        <f>ROUND(H7*IF($E7="精英",设计基准!$E$7,设计基准!$E$6),0)</f>
        <v>9</v>
      </c>
      <c r="O7" s="9" t="s">
        <v>139</v>
      </c>
      <c r="P7" s="10" t="s">
        <v>16</v>
      </c>
    </row>
    <row r="8" ht="30" customHeight="1" spans="1:16">
      <c r="A8" s="7" t="s">
        <v>140</v>
      </c>
      <c r="B8" t="s">
        <v>141</v>
      </c>
      <c r="C8" t="s">
        <v>142</v>
      </c>
      <c r="D8">
        <v>2</v>
      </c>
      <c r="E8" t="s">
        <v>9</v>
      </c>
      <c r="F8" t="s">
        <v>143</v>
      </c>
      <c r="G8" s="8">
        <v>168</v>
      </c>
      <c r="H8" s="8">
        <v>32</v>
      </c>
      <c r="I8" s="8">
        <v>72</v>
      </c>
      <c r="J8" s="8">
        <v>33</v>
      </c>
      <c r="K8" s="4">
        <f>ROUND(I8*IF($E8="精英",设计基准!$B$7,设计基准!$B$6),0)</f>
        <v>12</v>
      </c>
      <c r="L8" s="4">
        <f>ROUND(I8*IF($E8="精英",设计基准!$C$7,设计基准!$C$6),0)</f>
        <v>17</v>
      </c>
      <c r="M8" s="4">
        <f>ROUND(I8*IF($E8="精英",设计基准!$D$7,设计基准!$D$6),0)</f>
        <v>24</v>
      </c>
      <c r="N8" s="4">
        <f>ROUND(H8*IF($E8="精英",设计基准!$E$7,设计基准!$E$6),0)</f>
        <v>7</v>
      </c>
      <c r="O8" s="9" t="s">
        <v>144</v>
      </c>
      <c r="P8" s="10" t="s">
        <v>16</v>
      </c>
    </row>
    <row r="9" ht="30" customHeight="1" spans="1:16">
      <c r="A9" s="7" t="s">
        <v>145</v>
      </c>
      <c r="B9" t="s">
        <v>146</v>
      </c>
      <c r="C9" t="s">
        <v>147</v>
      </c>
      <c r="D9">
        <v>2</v>
      </c>
      <c r="E9" t="s">
        <v>9</v>
      </c>
      <c r="F9" t="s">
        <v>148</v>
      </c>
      <c r="G9" s="8">
        <v>152</v>
      </c>
      <c r="H9" s="8">
        <v>65</v>
      </c>
      <c r="I9" s="8">
        <v>55</v>
      </c>
      <c r="J9" s="8">
        <v>30</v>
      </c>
      <c r="K9" s="4">
        <f>ROUND(I9*IF($E9="精英",设计基准!$B$7,设计基准!$B$6),0)</f>
        <v>9</v>
      </c>
      <c r="L9" s="4">
        <f>ROUND(I9*IF($E9="精英",设计基准!$C$7,设计基准!$C$6),0)</f>
        <v>13</v>
      </c>
      <c r="M9" s="4">
        <f>ROUND(I9*IF($E9="精英",设计基准!$D$7,设计基准!$D$6),0)</f>
        <v>19</v>
      </c>
      <c r="N9" s="4">
        <f>ROUND(H9*IF($E9="精英",设计基准!$E$7,设计基准!$E$6),0)</f>
        <v>14</v>
      </c>
      <c r="O9" s="9" t="s">
        <v>149</v>
      </c>
      <c r="P9" s="10"/>
    </row>
    <row r="10" ht="30" customHeight="1" spans="1:16">
      <c r="A10" s="7" t="s">
        <v>150</v>
      </c>
      <c r="B10" t="s">
        <v>151</v>
      </c>
      <c r="C10" t="s">
        <v>152</v>
      </c>
      <c r="D10">
        <v>2</v>
      </c>
      <c r="E10" t="s">
        <v>9</v>
      </c>
      <c r="F10" t="s">
        <v>153</v>
      </c>
      <c r="G10" s="8">
        <v>160</v>
      </c>
      <c r="H10" s="8">
        <v>55</v>
      </c>
      <c r="I10" s="8">
        <v>52</v>
      </c>
      <c r="J10" s="8">
        <v>32</v>
      </c>
      <c r="K10" s="4">
        <f>ROUND(I10*IF($E10="精英",设计基准!$B$7,设计基准!$B$6),0)</f>
        <v>8</v>
      </c>
      <c r="L10" s="4">
        <f>ROUND(I10*IF($E10="精英",设计基准!$C$7,设计基准!$C$6),0)</f>
        <v>12</v>
      </c>
      <c r="M10" s="4">
        <f>ROUND(I10*IF($E10="精英",设计基准!$D$7,设计基准!$D$6),0)</f>
        <v>18</v>
      </c>
      <c r="N10" s="4">
        <f>ROUND(H10*IF($E10="精英",设计基准!$E$7,设计基准!$E$6),0)</f>
        <v>12</v>
      </c>
      <c r="O10" s="10" t="s">
        <v>154</v>
      </c>
      <c r="P10" s="10" t="s">
        <v>16</v>
      </c>
    </row>
    <row r="11" ht="30" customHeight="1" spans="1:16">
      <c r="A11" s="7" t="s">
        <v>155</v>
      </c>
      <c r="B11" t="s">
        <v>156</v>
      </c>
      <c r="C11" t="s">
        <v>157</v>
      </c>
      <c r="D11">
        <v>2</v>
      </c>
      <c r="E11" t="s">
        <v>9</v>
      </c>
      <c r="F11" t="s">
        <v>158</v>
      </c>
      <c r="G11" s="8">
        <v>156.8</v>
      </c>
      <c r="H11" s="8">
        <v>50</v>
      </c>
      <c r="I11" s="8">
        <v>65</v>
      </c>
      <c r="J11" s="8">
        <v>31</v>
      </c>
      <c r="K11" s="4">
        <f>ROUND(I11*IF($E11="精英",设计基准!$B$7,设计基准!$B$6),0)</f>
        <v>10</v>
      </c>
      <c r="L11" s="4">
        <f>ROUND(I11*IF($E11="精英",设计基准!$C$7,设计基准!$C$6),0)</f>
        <v>16</v>
      </c>
      <c r="M11" s="4">
        <f>ROUND(I11*IF($E11="精英",设计基准!$D$7,设计基准!$D$6),0)</f>
        <v>22</v>
      </c>
      <c r="N11" s="4">
        <f>ROUND(H11*IF($E11="精英",设计基准!$E$7,设计基准!$E$6),0)</f>
        <v>11</v>
      </c>
      <c r="O11" s="9" t="s">
        <v>159</v>
      </c>
      <c r="P11" s="10" t="s">
        <v>16</v>
      </c>
    </row>
    <row r="12" ht="30" customHeight="1" spans="1:16">
      <c r="A12" s="7" t="s">
        <v>160</v>
      </c>
      <c r="B12" t="s">
        <v>161</v>
      </c>
      <c r="C12" t="s">
        <v>162</v>
      </c>
      <c r="D12">
        <v>2</v>
      </c>
      <c r="E12" t="s">
        <v>9</v>
      </c>
      <c r="F12" t="s">
        <v>163</v>
      </c>
      <c r="G12" s="8">
        <v>150.4</v>
      </c>
      <c r="H12" s="8">
        <v>46</v>
      </c>
      <c r="I12" s="8">
        <v>56</v>
      </c>
      <c r="J12" s="8">
        <v>30</v>
      </c>
      <c r="K12" s="4">
        <f>ROUND(I12*IF($E12="精英",设计基准!$B$7,设计基准!$B$6),0)</f>
        <v>9</v>
      </c>
      <c r="L12" s="4">
        <f>ROUND(I12*IF($E12="精英",设计基准!$C$7,设计基准!$C$6),0)</f>
        <v>13</v>
      </c>
      <c r="M12" s="4">
        <f>ROUND(I12*IF($E12="精英",设计基准!$D$7,设计基准!$D$6),0)</f>
        <v>19</v>
      </c>
      <c r="N12" s="4">
        <f>ROUND(H12*IF($E12="精英",设计基准!$E$7,设计基准!$E$6),0)</f>
        <v>10</v>
      </c>
      <c r="O12" s="10" t="s">
        <v>164</v>
      </c>
      <c r="P12" s="10"/>
    </row>
    <row r="13" ht="30" customHeight="1" spans="1:16">
      <c r="A13" s="7" t="s">
        <v>165</v>
      </c>
      <c r="B13" t="s">
        <v>166</v>
      </c>
      <c r="C13" t="s">
        <v>167</v>
      </c>
      <c r="D13">
        <v>2</v>
      </c>
      <c r="E13" t="s">
        <v>9</v>
      </c>
      <c r="F13" t="s">
        <v>168</v>
      </c>
      <c r="G13" s="8">
        <v>232</v>
      </c>
      <c r="H13" s="8">
        <v>52</v>
      </c>
      <c r="I13" s="8">
        <v>52</v>
      </c>
      <c r="J13" s="8">
        <v>46</v>
      </c>
      <c r="K13" s="4">
        <f>ROUND(I13*IF($E13="精英",设计基准!$B$7,设计基准!$B$6),0)</f>
        <v>8</v>
      </c>
      <c r="L13" s="4">
        <f>ROUND(I13*IF($E13="精英",设计基准!$C$7,设计基准!$C$6),0)</f>
        <v>12</v>
      </c>
      <c r="M13" s="4">
        <f>ROUND(I13*IF($E13="精英",设计基准!$D$7,设计基准!$D$6),0)</f>
        <v>18</v>
      </c>
      <c r="N13" s="4">
        <f>ROUND(H13*IF($E13="精英",设计基准!$E$7,设计基准!$E$6),0)</f>
        <v>11</v>
      </c>
      <c r="O13" s="10" t="s">
        <v>169</v>
      </c>
      <c r="P13" s="10"/>
    </row>
    <row r="14" ht="30" customHeight="1" spans="1:16">
      <c r="A14" s="7" t="s">
        <v>170</v>
      </c>
      <c r="B14" t="s">
        <v>171</v>
      </c>
      <c r="C14" t="s">
        <v>142</v>
      </c>
      <c r="D14">
        <v>2</v>
      </c>
      <c r="E14" t="s">
        <v>9</v>
      </c>
      <c r="F14" t="s">
        <v>172</v>
      </c>
      <c r="G14" s="8">
        <v>160</v>
      </c>
      <c r="H14" s="8">
        <v>57</v>
      </c>
      <c r="I14" s="8">
        <v>57</v>
      </c>
      <c r="J14" s="8">
        <v>32</v>
      </c>
      <c r="K14" s="4">
        <f>ROUND(I14*IF($E14="精英",设计基准!$B$7,设计基准!$B$6),0)</f>
        <v>9</v>
      </c>
      <c r="L14" s="4">
        <f>ROUND(I14*IF($E14="精英",设计基准!$C$7,设计基准!$C$6),0)</f>
        <v>14</v>
      </c>
      <c r="M14" s="4">
        <f>ROUND(I14*IF($E14="精英",设计基准!$D$7,设计基准!$D$6),0)</f>
        <v>19</v>
      </c>
      <c r="N14" s="4">
        <f>ROUND(H14*IF($E14="精英",设计基准!$E$7,设计基准!$E$6),0)</f>
        <v>13</v>
      </c>
      <c r="O14" s="10" t="s">
        <v>173</v>
      </c>
      <c r="P14" s="10" t="s">
        <v>16</v>
      </c>
    </row>
    <row r="15" ht="30" customHeight="1" spans="1:16">
      <c r="A15" s="7" t="s">
        <v>174</v>
      </c>
      <c r="B15" t="s">
        <v>175</v>
      </c>
      <c r="C15" t="s">
        <v>127</v>
      </c>
      <c r="D15">
        <v>2</v>
      </c>
      <c r="E15" t="s">
        <v>9</v>
      </c>
      <c r="F15" t="s">
        <v>176</v>
      </c>
      <c r="G15" s="8">
        <v>160</v>
      </c>
      <c r="H15" s="8">
        <v>65</v>
      </c>
      <c r="I15" s="8">
        <v>49</v>
      </c>
      <c r="J15" s="8">
        <v>32</v>
      </c>
      <c r="K15" s="4">
        <f>ROUND(I15*IF($E15="精英",设计基准!$B$7,设计基准!$B$6),0)</f>
        <v>8</v>
      </c>
      <c r="L15" s="4">
        <f>ROUND(I15*IF($E15="精英",设计基准!$C$7,设计基准!$C$6),0)</f>
        <v>12</v>
      </c>
      <c r="M15" s="4">
        <f>ROUND(I15*IF($E15="精英",设计基准!$D$7,设计基准!$D$6),0)</f>
        <v>17</v>
      </c>
      <c r="N15" s="4">
        <f>ROUND(H15*IF($E15="精英",设计基准!$E$7,设计基准!$E$6),0)</f>
        <v>14</v>
      </c>
      <c r="O15" s="9" t="s">
        <v>177</v>
      </c>
      <c r="P15" s="10" t="s">
        <v>16</v>
      </c>
    </row>
    <row r="16" ht="30" customHeight="1" spans="1:16">
      <c r="A16" s="7" t="s">
        <v>178</v>
      </c>
      <c r="B16" t="s">
        <v>179</v>
      </c>
      <c r="C16" t="s">
        <v>180</v>
      </c>
      <c r="D16">
        <v>2</v>
      </c>
      <c r="E16" t="s">
        <v>9</v>
      </c>
      <c r="F16" t="s">
        <v>181</v>
      </c>
      <c r="G16" s="8">
        <v>168</v>
      </c>
      <c r="H16" s="8">
        <v>60</v>
      </c>
      <c r="I16" s="8">
        <v>50</v>
      </c>
      <c r="J16" s="8">
        <v>33</v>
      </c>
      <c r="K16" s="4">
        <f>ROUND(I16*IF($E16="精英",设计基准!$B$7,设计基准!$B$6),0)</f>
        <v>8</v>
      </c>
      <c r="L16" s="4">
        <f>ROUND(I16*IF($E16="精英",设计基准!$C$7,设计基准!$C$6),0)</f>
        <v>12</v>
      </c>
      <c r="M16" s="4">
        <f>ROUND(I16*IF($E16="精英",设计基准!$D$7,设计基准!$D$6),0)</f>
        <v>17</v>
      </c>
      <c r="N16" s="4">
        <f>ROUND(H16*IF($E16="精英",设计基准!$E$7,设计基准!$E$6),0)</f>
        <v>13</v>
      </c>
      <c r="O16" s="9" t="s">
        <v>182</v>
      </c>
      <c r="P16" s="10" t="s">
        <v>16</v>
      </c>
    </row>
    <row r="17" ht="30" customHeight="1" spans="1:16">
      <c r="A17" s="7" t="s">
        <v>183</v>
      </c>
      <c r="B17" t="s">
        <v>184</v>
      </c>
      <c r="C17" t="s">
        <v>185</v>
      </c>
      <c r="D17">
        <v>2</v>
      </c>
      <c r="E17" t="s">
        <v>9</v>
      </c>
      <c r="F17" t="s">
        <v>186</v>
      </c>
      <c r="G17" s="8">
        <v>184</v>
      </c>
      <c r="H17" s="8">
        <v>62</v>
      </c>
      <c r="I17" s="8">
        <v>50</v>
      </c>
      <c r="J17" s="8">
        <v>36</v>
      </c>
      <c r="K17" s="4">
        <f>ROUND(I17*IF($E17="精英",设计基准!$B$7,设计基准!$B$6),0)</f>
        <v>8</v>
      </c>
      <c r="L17" s="4">
        <f>ROUND(I17*IF($E17="精英",设计基准!$C$7,设计基准!$C$6),0)</f>
        <v>12</v>
      </c>
      <c r="M17" s="4">
        <f>ROUND(I17*IF($E17="精英",设计基准!$D$7,设计基准!$D$6),0)</f>
        <v>17</v>
      </c>
      <c r="N17" s="4">
        <f>ROUND(H17*IF($E17="精英",设计基准!$E$7,设计基准!$E$6),0)</f>
        <v>14</v>
      </c>
      <c r="O17" s="9" t="s">
        <v>187</v>
      </c>
      <c r="P17" s="10" t="s">
        <v>16</v>
      </c>
    </row>
    <row r="18" ht="30" customHeight="1" spans="1:16">
      <c r="A18" s="7" t="s">
        <v>188</v>
      </c>
      <c r="B18" t="s">
        <v>189</v>
      </c>
      <c r="C18" t="s">
        <v>190</v>
      </c>
      <c r="D18">
        <v>2</v>
      </c>
      <c r="E18" t="s">
        <v>9</v>
      </c>
      <c r="F18" t="s">
        <v>191</v>
      </c>
      <c r="G18" s="8">
        <v>171.2</v>
      </c>
      <c r="H18" s="8">
        <v>58</v>
      </c>
      <c r="I18" s="8">
        <v>74</v>
      </c>
      <c r="J18" s="8">
        <v>34</v>
      </c>
      <c r="K18" s="4">
        <v>3</v>
      </c>
      <c r="L18" s="4">
        <f>ROUND(I18*IF($E18="精英",设计基准!$C$7,设计基准!$C$6),0)</f>
        <v>18</v>
      </c>
      <c r="M18" s="4">
        <f>ROUND(I18*IF($E18="精英",设计基准!$D$7,设计基准!$D$6),0)</f>
        <v>25</v>
      </c>
      <c r="N18" s="4">
        <f>ROUND(H18*IF($E18="精英",设计基准!$E$7,设计基准!$E$6),0)</f>
        <v>13</v>
      </c>
      <c r="O18" s="9" t="s">
        <v>192</v>
      </c>
      <c r="P18" s="10"/>
    </row>
    <row r="19" ht="30" customHeight="1" spans="1:16">
      <c r="A19" s="7" t="s">
        <v>193</v>
      </c>
      <c r="B19" t="s">
        <v>194</v>
      </c>
      <c r="C19" t="s">
        <v>132</v>
      </c>
      <c r="D19">
        <v>2</v>
      </c>
      <c r="E19" t="s">
        <v>9</v>
      </c>
      <c r="F19" t="s">
        <v>195</v>
      </c>
      <c r="G19" s="8">
        <v>232</v>
      </c>
      <c r="H19" s="8">
        <v>75</v>
      </c>
      <c r="I19" s="8">
        <v>57</v>
      </c>
      <c r="J19" s="8">
        <v>46</v>
      </c>
      <c r="K19" s="4">
        <f>ROUND(I19*IF($E19="精英",设计基准!$B$7,设计基准!$B$6),0)</f>
        <v>9</v>
      </c>
      <c r="L19" s="4">
        <f>ROUND(I19*IF($E19="精英",设计基准!$C$7,设计基准!$C$6),0)</f>
        <v>14</v>
      </c>
      <c r="M19" s="4">
        <f>ROUND(I19*IF($E19="精英",设计基准!$D$7,设计基准!$D$6),0)</f>
        <v>19</v>
      </c>
      <c r="N19" s="4">
        <f>ROUND(H19*IF($E19="精英",设计基准!$E$7,设计基准!$E$6),0)</f>
        <v>17</v>
      </c>
      <c r="O19" s="10" t="s">
        <v>196</v>
      </c>
      <c r="P19" s="10" t="s">
        <v>16</v>
      </c>
    </row>
    <row r="20" ht="30" customHeight="1" spans="1:16">
      <c r="A20" s="7" t="s">
        <v>197</v>
      </c>
      <c r="B20" t="s">
        <v>198</v>
      </c>
      <c r="C20" t="s">
        <v>147</v>
      </c>
      <c r="D20">
        <v>2</v>
      </c>
      <c r="E20" t="s">
        <v>9</v>
      </c>
      <c r="F20" t="s">
        <v>199</v>
      </c>
      <c r="G20" s="8">
        <v>144</v>
      </c>
      <c r="H20" s="8">
        <v>102</v>
      </c>
      <c r="I20" s="8">
        <v>37</v>
      </c>
      <c r="J20" s="8">
        <v>28</v>
      </c>
      <c r="K20" s="4">
        <f>ROUND(I20*IF($E20="精英",设计基准!$B$7,设计基准!$B$6),0)</f>
        <v>6</v>
      </c>
      <c r="L20" s="4">
        <f>ROUND(I20*IF($E20="精英",设计基准!$C$7,设计基准!$C$6),0)</f>
        <v>9</v>
      </c>
      <c r="M20" s="4">
        <f>ROUND(I20*IF($E20="精英",设计基准!$D$7,设计基准!$D$6),0)</f>
        <v>13</v>
      </c>
      <c r="N20" s="4">
        <f>ROUND(H20*IF($E20="精英",设计基准!$E$7,设计基准!$E$6),0)</f>
        <v>22</v>
      </c>
      <c r="O20" s="10" t="s">
        <v>200</v>
      </c>
      <c r="P20" s="10"/>
    </row>
    <row r="21" ht="30" customHeight="1" spans="1:16">
      <c r="A21" s="7" t="s">
        <v>201</v>
      </c>
      <c r="B21" t="s">
        <v>202</v>
      </c>
      <c r="C21" t="s">
        <v>203</v>
      </c>
      <c r="D21">
        <v>2</v>
      </c>
      <c r="E21" t="s">
        <v>9</v>
      </c>
      <c r="F21" t="s">
        <v>204</v>
      </c>
      <c r="G21" s="8">
        <v>184</v>
      </c>
      <c r="H21" s="8">
        <v>65</v>
      </c>
      <c r="I21" s="8">
        <v>67</v>
      </c>
      <c r="J21" s="8">
        <v>36</v>
      </c>
      <c r="K21" s="4">
        <f>ROUND(I21*IF($E21="精英",设计基准!$B$7,设计基准!$B$6),0)</f>
        <v>11</v>
      </c>
      <c r="L21" s="4">
        <f>ROUND(I21*IF($E21="精英",设计基准!$C$7,设计基准!$C$6),0)</f>
        <v>16</v>
      </c>
      <c r="M21" s="4">
        <f>ROUND(I21*IF($E21="精英",设计基准!$D$7,设计基准!$D$6),0)</f>
        <v>23</v>
      </c>
      <c r="N21" s="4">
        <f>ROUND(H21*IF($E21="精英",设计基准!$E$7,设计基准!$E$6),0)</f>
        <v>14</v>
      </c>
      <c r="O21" s="10" t="s">
        <v>205</v>
      </c>
      <c r="P21" s="10"/>
    </row>
    <row r="22" ht="30" customHeight="1" spans="1:16">
      <c r="A22" s="7" t="s">
        <v>206</v>
      </c>
      <c r="B22" t="s">
        <v>207</v>
      </c>
      <c r="C22" t="s">
        <v>208</v>
      </c>
      <c r="D22">
        <v>2</v>
      </c>
      <c r="E22" t="s">
        <v>9</v>
      </c>
      <c r="F22" t="s">
        <v>209</v>
      </c>
      <c r="G22" s="8">
        <v>184</v>
      </c>
      <c r="H22" s="8">
        <v>80</v>
      </c>
      <c r="I22" s="8">
        <v>77</v>
      </c>
      <c r="J22" s="8">
        <v>36</v>
      </c>
      <c r="K22" s="4">
        <f>ROUND(I22*IF($E22="精英",设计基准!$B$7,设计基准!$B$6),0)</f>
        <v>12</v>
      </c>
      <c r="L22" s="4">
        <f>ROUND(I22*IF($E22="精英",设计基准!$C$7,设计基准!$C$6),0)</f>
        <v>18</v>
      </c>
      <c r="M22" s="4">
        <f>ROUND(I22*IF($E22="精英",设计基准!$D$7,设计基准!$D$6),0)</f>
        <v>26</v>
      </c>
      <c r="N22" s="4">
        <f>ROUND(H22*IF($E22="精英",设计基准!$E$7,设计基准!$E$6),0)</f>
        <v>18</v>
      </c>
      <c r="O22" s="10" t="s">
        <v>210</v>
      </c>
      <c r="P22" s="10" t="s">
        <v>16</v>
      </c>
    </row>
    <row r="23" ht="30" customHeight="1" spans="1:16">
      <c r="A23" s="7" t="s">
        <v>211</v>
      </c>
      <c r="B23" t="s">
        <v>212</v>
      </c>
      <c r="C23" t="s">
        <v>213</v>
      </c>
      <c r="D23">
        <v>3</v>
      </c>
      <c r="E23" t="s">
        <v>9</v>
      </c>
      <c r="F23" t="s">
        <v>214</v>
      </c>
      <c r="G23" s="8">
        <v>144</v>
      </c>
      <c r="H23" s="8">
        <v>60</v>
      </c>
      <c r="I23" s="8">
        <v>75</v>
      </c>
      <c r="J23" s="8">
        <v>28</v>
      </c>
      <c r="K23" s="4">
        <f>ROUND(I23*IF($E23="精英",设计基准!$B$7,设计基准!$B$6),0)</f>
        <v>12</v>
      </c>
      <c r="L23" s="4">
        <f>ROUND(I23*IF($E23="精英",设计基准!$C$7,设计基准!$C$6),0)</f>
        <v>18</v>
      </c>
      <c r="M23" s="4">
        <f>ROUND(I23*IF($E23="精英",设计基准!$D$7,设计基准!$D$6),0)</f>
        <v>26</v>
      </c>
      <c r="N23" s="4">
        <f>ROUND(H23*IF($E23="精英",设计基准!$E$7,设计基准!$E$6),0)</f>
        <v>13</v>
      </c>
      <c r="O23" s="10" t="s">
        <v>215</v>
      </c>
      <c r="P23" s="10"/>
    </row>
    <row r="24" ht="30" customHeight="1" spans="1:16">
      <c r="A24" s="7" t="s">
        <v>216</v>
      </c>
      <c r="B24" t="s">
        <v>217</v>
      </c>
      <c r="C24" t="s">
        <v>132</v>
      </c>
      <c r="D24">
        <v>3</v>
      </c>
      <c r="E24" t="s">
        <v>9</v>
      </c>
      <c r="F24" t="s">
        <v>218</v>
      </c>
      <c r="G24" s="8">
        <v>240</v>
      </c>
      <c r="H24" s="8">
        <v>87</v>
      </c>
      <c r="I24" s="8">
        <v>60</v>
      </c>
      <c r="J24" s="8">
        <v>48</v>
      </c>
      <c r="K24" s="4">
        <f>ROUND(I24*IF($E24="精英",设计基准!$B$7,设计基准!$B$6),0)</f>
        <v>10</v>
      </c>
      <c r="L24" s="4">
        <f>ROUND(I24*IF($E24="精英",设计基准!$C$7,设计基准!$C$6),0)</f>
        <v>14</v>
      </c>
      <c r="M24" s="4">
        <f>ROUND(I24*IF($E24="精英",设计基准!$D$7,设计基准!$D$6),0)</f>
        <v>20</v>
      </c>
      <c r="N24" s="4">
        <f>ROUND(H24*IF($E24="精英",设计基准!$E$7,设计基准!$E$6),0)</f>
        <v>19</v>
      </c>
      <c r="O24" s="10" t="s">
        <v>219</v>
      </c>
      <c r="P24" s="10"/>
    </row>
    <row r="25" ht="30" customHeight="1" spans="1:16">
      <c r="A25" s="7" t="s">
        <v>220</v>
      </c>
      <c r="B25" t="s">
        <v>221</v>
      </c>
      <c r="C25" t="s">
        <v>222</v>
      </c>
      <c r="D25">
        <v>3</v>
      </c>
      <c r="E25" t="s">
        <v>9</v>
      </c>
      <c r="F25" t="s">
        <v>223</v>
      </c>
      <c r="G25" s="8">
        <v>184</v>
      </c>
      <c r="H25" s="8">
        <v>67</v>
      </c>
      <c r="I25" s="8">
        <v>97</v>
      </c>
      <c r="J25" s="8">
        <v>36</v>
      </c>
      <c r="K25" s="4">
        <f>ROUND(I25*IF($E25="精英",设计基准!$B$7,设计基准!$B$6),0)</f>
        <v>16</v>
      </c>
      <c r="L25" s="4">
        <f>ROUND(I25*IF($E25="精英",设计基准!$C$7,设计基准!$C$6),0)</f>
        <v>23</v>
      </c>
      <c r="M25" s="4">
        <f>ROUND(I25*IF($E25="精英",设计基准!$D$7,设计基准!$D$6),0)</f>
        <v>33</v>
      </c>
      <c r="N25" s="4">
        <f>ROUND(H25*IF($E25="精英",设计基准!$E$7,设计基准!$E$6),0)</f>
        <v>15</v>
      </c>
      <c r="O25" s="9" t="s">
        <v>224</v>
      </c>
      <c r="P25" s="10"/>
    </row>
    <row r="26" ht="30" customHeight="1" spans="1:16">
      <c r="A26" s="7" t="s">
        <v>225</v>
      </c>
      <c r="B26" t="s">
        <v>226</v>
      </c>
      <c r="C26" t="s">
        <v>227</v>
      </c>
      <c r="D26">
        <v>3</v>
      </c>
      <c r="E26" t="s">
        <v>9</v>
      </c>
      <c r="F26" t="s">
        <v>228</v>
      </c>
      <c r="G26" s="8">
        <v>216</v>
      </c>
      <c r="H26" s="8">
        <v>85</v>
      </c>
      <c r="I26" s="8">
        <v>82</v>
      </c>
      <c r="J26" s="8">
        <v>43</v>
      </c>
      <c r="K26" s="4">
        <f>ROUND(I26*IF($E26="精英",设计基准!$B$7,设计基准!$B$6),0)</f>
        <v>13</v>
      </c>
      <c r="L26" s="4">
        <f>ROUND(I26*IF($E26="精英",设计基准!$C$7,设计基准!$C$6),0)</f>
        <v>20</v>
      </c>
      <c r="M26" s="4">
        <f>ROUND(I26*IF($E26="精英",设计基准!$D$7,设计基准!$D$6),0)</f>
        <v>28</v>
      </c>
      <c r="N26" s="4">
        <f>ROUND(H26*IF($E26="精英",设计基准!$E$7,设计基准!$E$6),0)</f>
        <v>19</v>
      </c>
      <c r="O26" s="9" t="s">
        <v>229</v>
      </c>
      <c r="P26" s="10" t="s">
        <v>16</v>
      </c>
    </row>
    <row r="27" ht="30" customHeight="1" spans="1:16">
      <c r="A27" s="7" t="s">
        <v>230</v>
      </c>
      <c r="B27" t="s">
        <v>231</v>
      </c>
      <c r="C27" t="s">
        <v>232</v>
      </c>
      <c r="D27">
        <v>3</v>
      </c>
      <c r="E27" t="s">
        <v>9</v>
      </c>
      <c r="F27" t="s">
        <v>233</v>
      </c>
      <c r="G27" s="8">
        <v>232</v>
      </c>
      <c r="H27" s="8">
        <v>82</v>
      </c>
      <c r="I27" s="8">
        <v>97</v>
      </c>
      <c r="J27" s="8">
        <v>46</v>
      </c>
      <c r="K27" s="4">
        <f>ROUND(I27*IF($E27="精英",设计基准!$B$7,设计基准!$B$6),0)</f>
        <v>16</v>
      </c>
      <c r="L27" s="4">
        <f>ROUND(I27*IF($E27="精英",设计基准!$C$7,设计基准!$C$6),0)</f>
        <v>23</v>
      </c>
      <c r="M27" s="4">
        <f>ROUND(I27*IF($E27="精英",设计基准!$D$7,设计基准!$D$6),0)</f>
        <v>33</v>
      </c>
      <c r="N27" s="4">
        <f>ROUND(H27*IF($E27="精英",设计基准!$E$7,设计基准!$E$6),0)</f>
        <v>18</v>
      </c>
      <c r="O27" s="9" t="s">
        <v>234</v>
      </c>
      <c r="P27" s="10"/>
    </row>
    <row r="28" ht="30" customHeight="1" spans="1:16">
      <c r="A28" s="7" t="s">
        <v>235</v>
      </c>
      <c r="B28" t="s">
        <v>236</v>
      </c>
      <c r="C28" t="s">
        <v>237</v>
      </c>
      <c r="D28">
        <v>3</v>
      </c>
      <c r="E28" t="s">
        <v>11</v>
      </c>
      <c r="F28" t="s">
        <v>238</v>
      </c>
      <c r="G28" s="8">
        <v>212.8</v>
      </c>
      <c r="H28" s="8">
        <v>81</v>
      </c>
      <c r="I28" s="8">
        <v>96</v>
      </c>
      <c r="J28" s="8">
        <v>42</v>
      </c>
      <c r="K28" s="4">
        <f>ROUND(I28*IF($E28="精英",设计基准!$B$7,设计基准!$B$6),0)</f>
        <v>19</v>
      </c>
      <c r="L28" s="4">
        <f>ROUND(I28*IF($E28="精英",设计基准!$C$7,设计基准!$C$6),0)</f>
        <v>29</v>
      </c>
      <c r="M28" s="4">
        <f>ROUND(I28*IF($E28="精英",设计基准!$D$7,设计基准!$D$6),0)</f>
        <v>38</v>
      </c>
      <c r="N28" s="4">
        <f>ROUND(H28*IF($E28="精英",设计基准!$E$7,设计基准!$E$6),0)</f>
        <v>21</v>
      </c>
      <c r="O28" s="10" t="s">
        <v>239</v>
      </c>
      <c r="P28" s="10" t="s">
        <v>240</v>
      </c>
    </row>
    <row r="29" ht="30" customHeight="1" spans="1:16">
      <c r="A29" s="7" t="s">
        <v>241</v>
      </c>
      <c r="B29" t="s">
        <v>242</v>
      </c>
      <c r="C29" t="s">
        <v>243</v>
      </c>
      <c r="D29">
        <v>4</v>
      </c>
      <c r="E29" t="s">
        <v>11</v>
      </c>
      <c r="F29" t="s">
        <v>244</v>
      </c>
      <c r="G29" s="8">
        <v>232</v>
      </c>
      <c r="H29" s="8">
        <v>87</v>
      </c>
      <c r="I29" s="8">
        <v>107</v>
      </c>
      <c r="J29" s="8">
        <v>46</v>
      </c>
      <c r="K29" s="4">
        <f>ROUND(I29*IF($E29="精英",设计基准!$B$7,设计基准!$B$6),0)</f>
        <v>21</v>
      </c>
      <c r="L29" s="4">
        <f>ROUND(I29*IF($E29="精英",设计基准!$C$7,设计基准!$C$6),0)</f>
        <v>32</v>
      </c>
      <c r="M29" s="4">
        <f>ROUND(I29*IF($E29="精英",设计基准!$D$7,设计基准!$D$6),0)</f>
        <v>43</v>
      </c>
      <c r="N29" s="4">
        <f>ROUND(H29*IF($E29="精英",设计基准!$E$7,设计基准!$E$6),0)</f>
        <v>23</v>
      </c>
      <c r="O29" s="10" t="s">
        <v>245</v>
      </c>
      <c r="P29" s="10" t="s">
        <v>246</v>
      </c>
    </row>
    <row r="30" ht="30" customHeight="1" spans="1:16">
      <c r="A30" s="7" t="s">
        <v>247</v>
      </c>
      <c r="B30" t="s">
        <v>248</v>
      </c>
      <c r="C30" t="s">
        <v>249</v>
      </c>
      <c r="D30">
        <v>4</v>
      </c>
      <c r="E30" t="s">
        <v>11</v>
      </c>
      <c r="F30" t="s">
        <v>250</v>
      </c>
      <c r="G30" s="8">
        <v>216</v>
      </c>
      <c r="H30" s="8">
        <v>110</v>
      </c>
      <c r="I30" s="8">
        <v>115</v>
      </c>
      <c r="J30" s="8">
        <v>43</v>
      </c>
      <c r="K30" s="4">
        <f>ROUND(I30*IF($E30="精英",设计基准!$B$7,设计基准!$B$6),0)</f>
        <v>23</v>
      </c>
      <c r="L30" s="4">
        <f>ROUND(I30*IF($E30="精英",设计基准!$C$7,设计基准!$C$6),0)</f>
        <v>35</v>
      </c>
      <c r="M30" s="4">
        <f>ROUND(I30*IF($E30="精英",设计基准!$D$7,设计基准!$D$6),0)</f>
        <v>46</v>
      </c>
      <c r="N30" s="4">
        <f>ROUND(H30*IF($E30="精英",设计基准!$E$7,设计基准!$E$6),0)</f>
        <v>29</v>
      </c>
      <c r="O30" s="9" t="s">
        <v>251</v>
      </c>
      <c r="P30" s="10" t="s">
        <v>252</v>
      </c>
    </row>
    <row r="31" ht="30" customHeight="1" spans="1:16">
      <c r="A31" s="7" t="s">
        <v>253</v>
      </c>
      <c r="B31" t="s">
        <v>254</v>
      </c>
      <c r="C31" t="s">
        <v>255</v>
      </c>
      <c r="D31">
        <v>4</v>
      </c>
      <c r="E31" t="s">
        <v>11</v>
      </c>
      <c r="F31" t="s">
        <v>256</v>
      </c>
      <c r="G31" s="8">
        <v>260.8</v>
      </c>
      <c r="H31" s="8">
        <v>108</v>
      </c>
      <c r="I31" s="8">
        <v>90</v>
      </c>
      <c r="J31" s="8">
        <v>52</v>
      </c>
      <c r="K31" s="4">
        <f>ROUND(I31*IF($E31="精英",设计基准!$B$7,设计基准!$B$6),0)</f>
        <v>18</v>
      </c>
      <c r="L31" s="4">
        <f>ROUND(I31*IF($E31="精英",设计基准!$C$7,设计基准!$C$6),0)</f>
        <v>27</v>
      </c>
      <c r="M31" s="4">
        <f>ROUND(I31*IF($E31="精英",设计基准!$D$7,设计基准!$D$6),0)</f>
        <v>36</v>
      </c>
      <c r="N31" s="4">
        <f>ROUND(H31*IF($E31="精英",设计基准!$E$7,设计基准!$E$6),0)</f>
        <v>28</v>
      </c>
      <c r="O31" s="9" t="s">
        <v>257</v>
      </c>
      <c r="P31" s="10" t="s">
        <v>258</v>
      </c>
    </row>
    <row r="32" ht="30" customHeight="1" spans="1:16">
      <c r="A32" s="7" t="s">
        <v>259</v>
      </c>
      <c r="B32" t="s">
        <v>260</v>
      </c>
      <c r="C32" t="s">
        <v>237</v>
      </c>
      <c r="D32">
        <v>4</v>
      </c>
      <c r="E32" t="s">
        <v>11</v>
      </c>
      <c r="F32" t="s">
        <v>261</v>
      </c>
      <c r="G32" s="8">
        <v>257.6</v>
      </c>
      <c r="H32" s="8">
        <v>122</v>
      </c>
      <c r="I32" s="8">
        <v>120</v>
      </c>
      <c r="J32" s="8">
        <v>51</v>
      </c>
      <c r="K32" s="4">
        <f>ROUND(I32*IF($E32="精英",设计基准!$B$7,设计基准!$B$6),0)</f>
        <v>24</v>
      </c>
      <c r="L32" s="4">
        <f>ROUND(I32*IF($E32="精英",设计基准!$C$7,设计基准!$C$6),0)</f>
        <v>36</v>
      </c>
      <c r="M32" s="4">
        <f>ROUND(I32*IF($E32="精英",设计基准!$D$7,设计基准!$D$6),0)</f>
        <v>48</v>
      </c>
      <c r="N32" s="4">
        <f>ROUND(H32*IF($E32="精英",设计基准!$E$7,设计基准!$E$6),0)</f>
        <v>32</v>
      </c>
      <c r="O32" s="9" t="s">
        <v>262</v>
      </c>
      <c r="P32" s="10"/>
    </row>
    <row r="33" ht="30" customHeight="1" spans="1:16">
      <c r="A33" s="7" t="s">
        <v>263</v>
      </c>
      <c r="B33" t="s">
        <v>264</v>
      </c>
      <c r="C33" t="s">
        <v>265</v>
      </c>
      <c r="D33">
        <v>4</v>
      </c>
      <c r="E33" t="s">
        <v>11</v>
      </c>
      <c r="F33" t="s">
        <v>266</v>
      </c>
      <c r="G33" s="8">
        <v>289.6</v>
      </c>
      <c r="H33" s="8">
        <v>96</v>
      </c>
      <c r="I33" s="8">
        <v>131</v>
      </c>
      <c r="J33" s="8">
        <v>57</v>
      </c>
      <c r="K33" s="4">
        <f>ROUND(I33*IF($E33="精英",设计基准!$B$7,设计基准!$B$6),0)</f>
        <v>26</v>
      </c>
      <c r="L33" s="4">
        <f>ROUND(I33*IF($E33="精英",设计基准!$C$7,设计基准!$C$6),0)</f>
        <v>39</v>
      </c>
      <c r="M33" s="4">
        <f>ROUND(I33*IF($E33="精英",设计基准!$D$7,设计基准!$D$6),0)</f>
        <v>52</v>
      </c>
      <c r="N33" s="4">
        <f>ROUND(H33*IF($E33="精英",设计基准!$E$7,设计基准!$E$6),0)</f>
        <v>25</v>
      </c>
      <c r="O33" s="10" t="s">
        <v>267</v>
      </c>
      <c r="P33" s="10" t="s">
        <v>268</v>
      </c>
    </row>
    <row r="34" ht="30" customHeight="1" spans="1:16">
      <c r="A34" s="7" t="s">
        <v>269</v>
      </c>
      <c r="B34" t="s">
        <v>270</v>
      </c>
      <c r="C34" t="s">
        <v>271</v>
      </c>
      <c r="D34">
        <v>4</v>
      </c>
      <c r="E34" t="s">
        <v>11</v>
      </c>
      <c r="F34" t="s">
        <v>272</v>
      </c>
      <c r="G34" s="8">
        <v>289.6</v>
      </c>
      <c r="H34" s="8">
        <v>96</v>
      </c>
      <c r="I34" s="8">
        <v>131</v>
      </c>
      <c r="J34" s="8">
        <v>57</v>
      </c>
      <c r="K34" s="4">
        <f>ROUND(I34*IF($E34="精英",设计基准!$B$7,设计基准!$B$6),0)</f>
        <v>26</v>
      </c>
      <c r="L34" s="4">
        <f>ROUND(I34*IF($E34="精英",设计基准!$C$7,设计基准!$C$6),0)</f>
        <v>39</v>
      </c>
      <c r="M34" s="4">
        <f>ROUND(I34*IF($E34="精英",设计基准!$D$7,设计基准!$D$6),0)</f>
        <v>52</v>
      </c>
      <c r="N34" s="4">
        <f>ROUND(H34*IF($E34="精英",设计基准!$E$7,设计基准!$E$6),0)</f>
        <v>25</v>
      </c>
      <c r="O34" s="9" t="s">
        <v>273</v>
      </c>
      <c r="P34" s="10" t="s">
        <v>274</v>
      </c>
    </row>
    <row r="35" ht="30" customHeight="1" spans="1:16">
      <c r="A35" s="7" t="s">
        <v>275</v>
      </c>
      <c r="B35" t="s">
        <v>276</v>
      </c>
      <c r="C35" t="s">
        <v>237</v>
      </c>
      <c r="D35">
        <v>4</v>
      </c>
      <c r="E35" t="s">
        <v>277</v>
      </c>
      <c r="F35" t="s">
        <v>278</v>
      </c>
      <c r="G35" s="8">
        <v>1</v>
      </c>
      <c r="H35" s="8">
        <v>0</v>
      </c>
      <c r="I35" s="8">
        <v>0</v>
      </c>
      <c r="J35" s="8">
        <v>1</v>
      </c>
      <c r="K35" s="4">
        <f>ROUND(I35*IF($E35="精英",设计基准!$B$7,设计基准!$B$6),0)</f>
        <v>0</v>
      </c>
      <c r="L35" s="4">
        <f>ROUND(I35*IF($E35="精英",设计基准!$C$7,设计基准!$C$6),0)</f>
        <v>0</v>
      </c>
      <c r="M35" s="4">
        <f>ROUND(I35*IF($E35="精英",设计基准!$D$7,设计基准!$D$6),0)</f>
        <v>0</v>
      </c>
      <c r="N35" s="4">
        <f>ROUND(H35*IF($E35="精英",设计基准!$E$7,设计基准!$E$6),0)</f>
        <v>0</v>
      </c>
      <c r="O35" s="10" t="s">
        <v>279</v>
      </c>
      <c r="P35" s="10" t="s">
        <v>280</v>
      </c>
    </row>
    <row r="37" spans="1:16">
      <c r="A37" s="11" t="s">
        <v>281</v>
      </c>
      <c r="B37" s="11"/>
      <c r="C37" s="11"/>
      <c r="D37" s="11"/>
    </row>
    <row r="38" spans="1:16">
      <c r="A38" s="12" t="s">
        <v>282</v>
      </c>
      <c r="B38" s="12"/>
      <c r="C38" s="13">
        <f>_xlfn.MINIFS(M4:M35,E4:E35,"精英")</f>
        <v>36</v>
      </c>
      <c r="D38" s="12"/>
    </row>
    <row r="39" spans="1:16">
      <c r="A39" s="12" t="s">
        <v>283</v>
      </c>
      <c r="B39" s="12"/>
      <c r="C39" s="13">
        <f>_xlfn.MAXIFS(M4:M35,E4:E35,"普通")</f>
        <v>33</v>
      </c>
      <c r="D39" s="12"/>
    </row>
    <row r="40" spans="1:16">
      <c r="A40" s="12" t="s">
        <v>284</v>
      </c>
      <c r="B40" s="12"/>
      <c r="C40" s="14" t="str">
        <f>IF(C38&gt;C39,"✅ 精英重击高于全部普通怪","‼ 不通过")</f>
        <v>✅ 精英重击高于全部普通怪</v>
      </c>
      <c r="D40" s="12"/>
    </row>
    <row r="41" spans="1:16">
      <c r="A41" s="12" t="s">
        <v>285</v>
      </c>
      <c r="B41" s="12"/>
      <c r="C41" s="12">
        <f>COUNTIF(招式表!$L$4:$L$181,"‼")+COUNTIF(招式表!$G$4:$G$181,"&lt;1")</f>
        <v>0</v>
      </c>
      <c r="D41" s="12"/>
    </row>
    <row r="42" spans="1:16">
      <c r="A42" s="12" t="s">
        <v>286</v>
      </c>
      <c r="B42" s="12"/>
      <c r="C42" s="12">
        <f>COUNTA(招式表!$C$4:$C$181)</f>
        <v>127</v>
      </c>
      <c r="D42" s="12"/>
    </row>
  </sheetData>
  <mergeCells count="3">
    <mergeCell ref="A1:P1"/>
    <mergeCell ref="A37:D37"/>
    <mergeCell ref="C40:D40"/>
  </mergeCells>
  <conditionalFormatting sqref="A4:P35">
    <cfRule type="expression" dxfId="0" priority="1">
      <formula>$E4="精英"</formula>
    </cfRule>
    <cfRule type="expression" dxfId="1" priority="2">
      <formula>$E4="特殊"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0"/>
  <sheetViews>
    <sheetView topLeftCell="A95" workbookViewId="0">
      <selection activeCell="J108" sqref="J108"/>
    </sheetView>
  </sheetViews>
  <sheetFormatPr defaultColWidth="9" defaultRowHeight="14.25"/>
  <cols>
    <col min="1" max="1" width="14" customWidth="1"/>
    <col min="2" max="2" width="8" customWidth="1"/>
    <col min="3" max="4" width="16" customWidth="1"/>
    <col min="5" max="5" width="10" customWidth="1"/>
    <col min="6" max="6" width="12" customWidth="1"/>
    <col min="7" max="7" width="8" customWidth="1"/>
    <col min="8" max="8" width="10" customWidth="1"/>
    <col min="9" max="9" width="12" customWidth="1"/>
    <col min="10" max="10" width="44" customWidth="1"/>
    <col min="11" max="11" width="40" customWidth="1"/>
    <col min="12" max="12" width="8" customWidth="1"/>
  </cols>
  <sheetData>
    <row r="1" ht="30" customHeight="1" spans="1:12">
      <c r="A1" s="1" t="s">
        <v>287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2" t="s">
        <v>107</v>
      </c>
      <c r="B3" s="2" t="s">
        <v>3</v>
      </c>
      <c r="C3" s="2" t="s">
        <v>288</v>
      </c>
      <c r="D3" s="2" t="s">
        <v>289</v>
      </c>
      <c r="E3" s="2" t="s">
        <v>290</v>
      </c>
      <c r="F3" s="2" t="s">
        <v>291</v>
      </c>
      <c r="G3" s="2" t="s">
        <v>292</v>
      </c>
      <c r="H3" s="2" t="s">
        <v>293</v>
      </c>
      <c r="I3" s="2" t="s">
        <v>294</v>
      </c>
      <c r="J3" s="2" t="s">
        <v>295</v>
      </c>
      <c r="K3" s="2" t="s">
        <v>296</v>
      </c>
      <c r="L3" s="2" t="s">
        <v>297</v>
      </c>
    </row>
    <row r="4" ht="18" customHeight="1" spans="1:12">
      <c r="A4" t="s">
        <v>121</v>
      </c>
      <c r="B4" t="s">
        <v>9</v>
      </c>
      <c r="C4" t="s">
        <v>298</v>
      </c>
      <c r="D4" t="s">
        <v>299</v>
      </c>
      <c r="E4" t="s">
        <v>300</v>
      </c>
      <c r="F4" s="3">
        <f>0</f>
        <v>0</v>
      </c>
      <c r="G4" s="3">
        <v>1</v>
      </c>
      <c r="H4" s="4">
        <f>F4*G4</f>
        <v>0</v>
      </c>
      <c r="I4" s="3">
        <v>0</v>
      </c>
      <c r="J4" t="s">
        <v>301</v>
      </c>
      <c r="K4" t="s">
        <v>16</v>
      </c>
      <c r="L4" s="5" t="str">
        <f>IF(OR(G4&lt;1,I4&lt;0),"\u203c","OK")</f>
        <v>OK</v>
      </c>
    </row>
    <row r="5" ht="18" customHeight="1" spans="1:12">
      <c r="A5" t="s">
        <v>121</v>
      </c>
      <c r="B5" t="s">
        <v>9</v>
      </c>
      <c r="C5" t="s">
        <v>302</v>
      </c>
      <c r="D5" t="s">
        <v>113</v>
      </c>
      <c r="E5" t="s">
        <v>115</v>
      </c>
      <c r="F5" s="3">
        <f>怪物总览!K4</f>
        <v>4</v>
      </c>
      <c r="G5" s="3">
        <v>1</v>
      </c>
      <c r="H5" s="4">
        <f>F5*G5</f>
        <v>4</v>
      </c>
      <c r="I5" s="3">
        <v>0</v>
      </c>
      <c r="J5" t="s">
        <v>40</v>
      </c>
      <c r="K5" t="s">
        <v>16</v>
      </c>
      <c r="L5" s="5" t="str">
        <f>IF(OR(G5&lt;1,I5&lt;0),"\u203c","OK")</f>
        <v>OK</v>
      </c>
    </row>
    <row r="6" ht="18" customHeight="1" spans="1:12">
      <c r="A6" t="s">
        <v>121</v>
      </c>
      <c r="B6" t="s">
        <v>9</v>
      </c>
      <c r="C6" t="s">
        <v>303</v>
      </c>
      <c r="D6" t="s">
        <v>112</v>
      </c>
      <c r="E6" t="s">
        <v>300</v>
      </c>
      <c r="F6" s="3">
        <f>0</f>
        <v>0</v>
      </c>
      <c r="G6" s="3">
        <v>1</v>
      </c>
      <c r="H6" s="4">
        <f>F6*G6</f>
        <v>0</v>
      </c>
      <c r="I6" s="3">
        <f>怪物总览!N4</f>
        <v>6</v>
      </c>
      <c r="J6" t="s">
        <v>40</v>
      </c>
      <c r="K6" t="s">
        <v>16</v>
      </c>
      <c r="L6" s="5" t="str">
        <f>IF(OR(G6&lt;1,I6&lt;0),"\u203c","OK")</f>
        <v>OK</v>
      </c>
    </row>
    <row r="7" ht="18" customHeight="1" spans="1:12">
      <c r="A7" t="s">
        <v>121</v>
      </c>
      <c r="B7" t="s">
        <v>9</v>
      </c>
      <c r="C7" t="s">
        <v>304</v>
      </c>
      <c r="D7" t="s">
        <v>113</v>
      </c>
      <c r="E7" t="s">
        <v>116</v>
      </c>
      <c r="F7" s="3">
        <f>怪物总览!L4</f>
        <v>6</v>
      </c>
      <c r="G7" s="3">
        <v>1</v>
      </c>
      <c r="H7" s="4">
        <f>F7*G7</f>
        <v>6</v>
      </c>
      <c r="I7" s="3">
        <v>0</v>
      </c>
      <c r="J7" t="s">
        <v>40</v>
      </c>
      <c r="K7" t="s">
        <v>16</v>
      </c>
      <c r="L7" s="5" t="str">
        <f>IF(OR(G7&lt;1,I7&lt;0),"\u203c","OK")</f>
        <v>OK</v>
      </c>
    </row>
    <row r="8" ht="18" customHeight="1" spans="1:12">
      <c r="A8" t="s">
        <v>126</v>
      </c>
      <c r="B8" t="s">
        <v>9</v>
      </c>
      <c r="C8" t="s">
        <v>305</v>
      </c>
      <c r="D8" t="s">
        <v>306</v>
      </c>
      <c r="E8" t="s">
        <v>300</v>
      </c>
      <c r="F8" s="3">
        <f>0</f>
        <v>0</v>
      </c>
      <c r="G8" s="3">
        <v>1</v>
      </c>
      <c r="H8" s="4">
        <f>F8*G8</f>
        <v>0</v>
      </c>
      <c r="I8" s="3">
        <v>0</v>
      </c>
      <c r="J8" t="s">
        <v>307</v>
      </c>
      <c r="K8" t="s">
        <v>16</v>
      </c>
      <c r="L8" s="5" t="str">
        <f>IF(OR(G8&lt;1,I8&lt;0),"\u203c","OK")</f>
        <v>OK</v>
      </c>
    </row>
    <row r="9" ht="18" customHeight="1" spans="1:12">
      <c r="A9" t="s">
        <v>126</v>
      </c>
      <c r="B9" t="s">
        <v>9</v>
      </c>
      <c r="C9" t="s">
        <v>304</v>
      </c>
      <c r="D9" t="s">
        <v>113</v>
      </c>
      <c r="E9" t="s">
        <v>115</v>
      </c>
      <c r="F9" s="3">
        <f>怪物总览!K5</f>
        <v>5</v>
      </c>
      <c r="G9" s="3">
        <v>1</v>
      </c>
      <c r="H9" s="4">
        <f>F9*G9</f>
        <v>5</v>
      </c>
      <c r="I9" s="3">
        <v>0</v>
      </c>
      <c r="J9" t="s">
        <v>40</v>
      </c>
      <c r="K9" t="s">
        <v>16</v>
      </c>
      <c r="L9" s="5" t="str">
        <f>IF(OR(G9&lt;1,I9&lt;0),"\u203c","OK")</f>
        <v>OK</v>
      </c>
    </row>
    <row r="10" ht="18" customHeight="1" spans="1:12">
      <c r="A10" t="s">
        <v>126</v>
      </c>
      <c r="B10" t="s">
        <v>9</v>
      </c>
      <c r="C10" t="s">
        <v>308</v>
      </c>
      <c r="D10" t="s">
        <v>112</v>
      </c>
      <c r="E10" t="s">
        <v>300</v>
      </c>
      <c r="F10" s="3">
        <f>0</f>
        <v>0</v>
      </c>
      <c r="G10" s="3">
        <v>1</v>
      </c>
      <c r="H10" s="4">
        <f>F10*G10</f>
        <v>0</v>
      </c>
      <c r="I10" s="3">
        <f>怪物总览!N5</f>
        <v>8</v>
      </c>
      <c r="J10" t="s">
        <v>40</v>
      </c>
      <c r="K10" t="s">
        <v>16</v>
      </c>
      <c r="L10" s="5" t="str">
        <f>IF(OR(G10&lt;1,I10&lt;0),"\u203c","OK")</f>
        <v>OK</v>
      </c>
    </row>
    <row r="11" ht="18" customHeight="1" spans="1:12">
      <c r="A11" t="s">
        <v>126</v>
      </c>
      <c r="B11" t="s">
        <v>9</v>
      </c>
      <c r="C11" t="s">
        <v>309</v>
      </c>
      <c r="D11" t="s">
        <v>113</v>
      </c>
      <c r="E11" t="s">
        <v>116</v>
      </c>
      <c r="F11" s="3">
        <f>怪物总览!L5</f>
        <v>7</v>
      </c>
      <c r="G11" s="3">
        <v>1</v>
      </c>
      <c r="H11" s="4">
        <f>F11*G11</f>
        <v>7</v>
      </c>
      <c r="I11" s="3">
        <v>0</v>
      </c>
      <c r="J11" t="s">
        <v>40</v>
      </c>
      <c r="K11" t="s">
        <v>16</v>
      </c>
      <c r="L11" s="5" t="str">
        <f>IF(OR(G11&lt;1,I11&lt;0),"\u203c","OK")</f>
        <v>OK</v>
      </c>
    </row>
    <row r="12" ht="18" customHeight="1" spans="1:12">
      <c r="A12" t="s">
        <v>131</v>
      </c>
      <c r="B12" t="s">
        <v>9</v>
      </c>
      <c r="C12" t="s">
        <v>310</v>
      </c>
      <c r="D12" t="s">
        <v>311</v>
      </c>
      <c r="E12" t="s">
        <v>115</v>
      </c>
      <c r="F12" s="3">
        <f>怪物总览!K6</f>
        <v>5</v>
      </c>
      <c r="G12" s="3">
        <v>1</v>
      </c>
      <c r="H12" s="4">
        <f>F12*G12</f>
        <v>5</v>
      </c>
      <c r="I12" s="3">
        <v>0</v>
      </c>
      <c r="J12" t="s">
        <v>301</v>
      </c>
      <c r="K12" t="s">
        <v>16</v>
      </c>
      <c r="L12" s="5" t="str">
        <f>IF(OR(G12&lt;1,I12&lt;0),"\u203c","OK")</f>
        <v>OK</v>
      </c>
    </row>
    <row r="13" ht="18" customHeight="1" spans="1:12">
      <c r="A13" t="s">
        <v>131</v>
      </c>
      <c r="B13" t="s">
        <v>9</v>
      </c>
      <c r="C13" t="s">
        <v>312</v>
      </c>
      <c r="D13" t="s">
        <v>113</v>
      </c>
      <c r="E13" t="s">
        <v>116</v>
      </c>
      <c r="F13" s="3">
        <f>怪物总览!L6</f>
        <v>8</v>
      </c>
      <c r="G13" s="3">
        <v>1</v>
      </c>
      <c r="H13" s="4">
        <f>F13*G13</f>
        <v>8</v>
      </c>
      <c r="I13" s="3">
        <v>0</v>
      </c>
      <c r="J13" t="s">
        <v>40</v>
      </c>
      <c r="K13" t="s">
        <v>16</v>
      </c>
      <c r="L13" s="5" t="str">
        <f>IF(OR(G13&lt;1,I13&lt;0),"\u203c","OK")</f>
        <v>OK</v>
      </c>
    </row>
    <row r="14" ht="18" customHeight="1" spans="1:12">
      <c r="A14" t="s">
        <v>131</v>
      </c>
      <c r="B14" t="s">
        <v>9</v>
      </c>
      <c r="C14" t="s">
        <v>313</v>
      </c>
      <c r="D14" t="s">
        <v>112</v>
      </c>
      <c r="E14" t="s">
        <v>300</v>
      </c>
      <c r="F14" s="3">
        <f>0</f>
        <v>0</v>
      </c>
      <c r="G14" s="3">
        <v>1</v>
      </c>
      <c r="H14" s="4">
        <f>F14*G14</f>
        <v>0</v>
      </c>
      <c r="I14" s="3">
        <f>怪物总览!N6</f>
        <v>8</v>
      </c>
      <c r="J14" t="s">
        <v>40</v>
      </c>
      <c r="K14" t="s">
        <v>16</v>
      </c>
      <c r="L14" s="5" t="str">
        <f>IF(OR(G14&lt;1,I14&lt;0),"\u203c","OK")</f>
        <v>OK</v>
      </c>
    </row>
    <row r="15" ht="18" customHeight="1" spans="1:12">
      <c r="A15" t="s">
        <v>131</v>
      </c>
      <c r="B15" t="s">
        <v>9</v>
      </c>
      <c r="C15" t="s">
        <v>314</v>
      </c>
      <c r="D15" t="s">
        <v>31</v>
      </c>
      <c r="E15" t="s">
        <v>315</v>
      </c>
      <c r="F15" s="3">
        <f>ROUND(怪物总览!L6/G15,0)</f>
        <v>4</v>
      </c>
      <c r="G15" s="3">
        <v>2</v>
      </c>
      <c r="H15" s="4">
        <f>F15*G15</f>
        <v>8</v>
      </c>
      <c r="I15" s="3">
        <v>0</v>
      </c>
      <c r="J15" t="s">
        <v>40</v>
      </c>
      <c r="K15" t="s">
        <v>16</v>
      </c>
      <c r="L15" s="5" t="str">
        <f>IF(OR(G15&lt;1,I15&lt;0),"\u203c","OK")</f>
        <v>OK</v>
      </c>
    </row>
    <row r="16" ht="18" customHeight="1" spans="1:12">
      <c r="A16" t="s">
        <v>136</v>
      </c>
      <c r="B16" t="s">
        <v>9</v>
      </c>
      <c r="C16" t="s">
        <v>316</v>
      </c>
      <c r="D16" t="s">
        <v>306</v>
      </c>
      <c r="E16" t="s">
        <v>300</v>
      </c>
      <c r="F16" s="3">
        <f>0</f>
        <v>0</v>
      </c>
      <c r="G16" s="3">
        <v>1</v>
      </c>
      <c r="H16" s="4">
        <f>F16*G16</f>
        <v>0</v>
      </c>
      <c r="I16" s="3">
        <v>0</v>
      </c>
      <c r="J16" t="s">
        <v>307</v>
      </c>
      <c r="K16" t="s">
        <v>16</v>
      </c>
      <c r="L16" s="5" t="str">
        <f>IF(OR(G16&lt;1,I16&lt;0),"\u203c","OK")</f>
        <v>OK</v>
      </c>
    </row>
    <row r="17" ht="18" customHeight="1" spans="1:12">
      <c r="A17" t="s">
        <v>136</v>
      </c>
      <c r="B17" t="s">
        <v>9</v>
      </c>
      <c r="C17" t="s">
        <v>317</v>
      </c>
      <c r="D17" t="s">
        <v>113</v>
      </c>
      <c r="E17" t="s">
        <v>115</v>
      </c>
      <c r="F17" s="3">
        <f>怪物总览!K7</f>
        <v>8</v>
      </c>
      <c r="G17" s="3">
        <v>1</v>
      </c>
      <c r="H17" s="4">
        <f>F17*G17</f>
        <v>8</v>
      </c>
      <c r="I17" s="3">
        <v>0</v>
      </c>
      <c r="J17" t="s">
        <v>40</v>
      </c>
      <c r="K17" t="s">
        <v>16</v>
      </c>
      <c r="L17" s="5" t="str">
        <f>IF(OR(G17&lt;1,I17&lt;0),"\u203c","OK")</f>
        <v>OK</v>
      </c>
    </row>
    <row r="18" ht="18" customHeight="1" spans="1:12">
      <c r="A18" t="s">
        <v>136</v>
      </c>
      <c r="B18" t="s">
        <v>9</v>
      </c>
      <c r="C18" t="s">
        <v>318</v>
      </c>
      <c r="D18" t="s">
        <v>112</v>
      </c>
      <c r="E18" t="s">
        <v>300</v>
      </c>
      <c r="F18" s="3">
        <f>0</f>
        <v>0</v>
      </c>
      <c r="G18" s="3">
        <v>1</v>
      </c>
      <c r="H18" s="4">
        <f>F18*G18</f>
        <v>0</v>
      </c>
      <c r="I18" s="3">
        <f>怪物总览!N7</f>
        <v>9</v>
      </c>
      <c r="J18" t="s">
        <v>40</v>
      </c>
      <c r="K18" t="s">
        <v>319</v>
      </c>
      <c r="L18" s="5" t="str">
        <f>IF(OR(G18&lt;1,I18&lt;0),"\u203c","OK")</f>
        <v>OK</v>
      </c>
    </row>
    <row r="19" ht="18" customHeight="1" spans="1:12">
      <c r="A19" t="s">
        <v>136</v>
      </c>
      <c r="B19" t="s">
        <v>9</v>
      </c>
      <c r="C19" t="s">
        <v>320</v>
      </c>
      <c r="D19" t="s">
        <v>113</v>
      </c>
      <c r="E19" t="s">
        <v>117</v>
      </c>
      <c r="F19" s="3">
        <f>怪物总览!M7</f>
        <v>18</v>
      </c>
      <c r="G19" s="3">
        <v>1</v>
      </c>
      <c r="H19" s="4">
        <f>F19*G19</f>
        <v>18</v>
      </c>
      <c r="I19" s="3">
        <v>0</v>
      </c>
      <c r="J19" t="s">
        <v>40</v>
      </c>
      <c r="K19" t="s">
        <v>16</v>
      </c>
      <c r="L19" s="5" t="str">
        <f>IF(OR(G19&lt;1,I19&lt;0),"\u203c","OK")</f>
        <v>OK</v>
      </c>
    </row>
    <row r="20" ht="18" customHeight="1" spans="1:12">
      <c r="A20" t="s">
        <v>321</v>
      </c>
      <c r="B20" t="s">
        <v>9</v>
      </c>
      <c r="C20" t="s">
        <v>322</v>
      </c>
      <c r="D20" t="s">
        <v>113</v>
      </c>
      <c r="E20" t="s">
        <v>115</v>
      </c>
      <c r="F20" s="3" t="e">
        <f>怪物总览!#REF!</f>
        <v>#REF!</v>
      </c>
      <c r="G20" s="3">
        <v>1</v>
      </c>
      <c r="H20" s="4" t="e">
        <f>F20*G20</f>
        <v>#REF!</v>
      </c>
      <c r="I20" s="3">
        <v>0</v>
      </c>
      <c r="J20" t="s">
        <v>40</v>
      </c>
      <c r="K20" t="s">
        <v>16</v>
      </c>
      <c r="L20" s="5" t="str">
        <f>IF(OR(G20&lt;1,I20&lt;0),"\u203c","OK")</f>
        <v>OK</v>
      </c>
    </row>
    <row r="21" ht="18" customHeight="1" spans="1:12">
      <c r="A21" t="s">
        <v>141</v>
      </c>
      <c r="B21" t="s">
        <v>9</v>
      </c>
      <c r="C21" t="s">
        <v>323</v>
      </c>
      <c r="D21" t="s">
        <v>299</v>
      </c>
      <c r="E21" t="s">
        <v>300</v>
      </c>
      <c r="F21" s="3">
        <f>0</f>
        <v>0</v>
      </c>
      <c r="G21" s="3">
        <v>1</v>
      </c>
      <c r="H21" s="4">
        <f t="shared" ref="H21:H60" si="0">F21*G21</f>
        <v>0</v>
      </c>
      <c r="I21" s="3">
        <v>0</v>
      </c>
      <c r="J21" t="s">
        <v>324</v>
      </c>
      <c r="K21" t="s">
        <v>16</v>
      </c>
      <c r="L21" s="5" t="str">
        <f t="shared" ref="L21:L60" si="1">IF(OR(G21&lt;1,I21&lt;0),"\u203c","OK")</f>
        <v>OK</v>
      </c>
    </row>
    <row r="22" ht="18" customHeight="1" spans="1:12">
      <c r="A22" t="s">
        <v>141</v>
      </c>
      <c r="B22" t="s">
        <v>9</v>
      </c>
      <c r="C22" t="s">
        <v>325</v>
      </c>
      <c r="D22" t="s">
        <v>113</v>
      </c>
      <c r="E22" t="s">
        <v>115</v>
      </c>
      <c r="F22" s="3">
        <f>怪物总览!K8</f>
        <v>12</v>
      </c>
      <c r="G22" s="3">
        <v>1</v>
      </c>
      <c r="H22" s="4">
        <f t="shared" si="0"/>
        <v>12</v>
      </c>
      <c r="I22" s="3">
        <v>0</v>
      </c>
      <c r="J22" t="s">
        <v>40</v>
      </c>
      <c r="K22" t="s">
        <v>16</v>
      </c>
      <c r="L22" s="5" t="str">
        <f t="shared" si="1"/>
        <v>OK</v>
      </c>
    </row>
    <row r="23" ht="18" customHeight="1" spans="1:12">
      <c r="A23" t="s">
        <v>141</v>
      </c>
      <c r="B23" t="s">
        <v>9</v>
      </c>
      <c r="C23" t="s">
        <v>326</v>
      </c>
      <c r="D23" t="s">
        <v>306</v>
      </c>
      <c r="E23" t="s">
        <v>300</v>
      </c>
      <c r="F23" s="3">
        <f>0</f>
        <v>0</v>
      </c>
      <c r="G23" s="3">
        <v>1</v>
      </c>
      <c r="H23" s="4">
        <f t="shared" si="0"/>
        <v>0</v>
      </c>
      <c r="I23" s="3">
        <v>0</v>
      </c>
      <c r="J23" t="s">
        <v>307</v>
      </c>
      <c r="K23" t="s">
        <v>16</v>
      </c>
      <c r="L23" s="5" t="str">
        <f t="shared" si="1"/>
        <v>OK</v>
      </c>
    </row>
    <row r="24" ht="18" customHeight="1" spans="1:12">
      <c r="A24" t="s">
        <v>141</v>
      </c>
      <c r="B24" t="s">
        <v>9</v>
      </c>
      <c r="C24" t="s">
        <v>322</v>
      </c>
      <c r="D24" t="s">
        <v>113</v>
      </c>
      <c r="E24" t="s">
        <v>116</v>
      </c>
      <c r="F24" s="3">
        <f>怪物总览!L8</f>
        <v>17</v>
      </c>
      <c r="G24" s="3">
        <v>1</v>
      </c>
      <c r="H24" s="4">
        <f t="shared" si="0"/>
        <v>17</v>
      </c>
      <c r="I24" s="3">
        <v>0</v>
      </c>
      <c r="J24" t="s">
        <v>40</v>
      </c>
      <c r="K24" t="s">
        <v>16</v>
      </c>
      <c r="L24" s="5" t="str">
        <f t="shared" si="1"/>
        <v>OK</v>
      </c>
    </row>
    <row r="25" ht="18" customHeight="1" spans="1:12">
      <c r="A25" t="s">
        <v>146</v>
      </c>
      <c r="B25" t="s">
        <v>9</v>
      </c>
      <c r="C25" t="s">
        <v>327</v>
      </c>
      <c r="D25" t="s">
        <v>112</v>
      </c>
      <c r="E25" t="s">
        <v>300</v>
      </c>
      <c r="F25" s="3">
        <f>0</f>
        <v>0</v>
      </c>
      <c r="G25" s="3">
        <v>1</v>
      </c>
      <c r="H25" s="4">
        <f t="shared" si="0"/>
        <v>0</v>
      </c>
      <c r="I25" s="3">
        <f>怪物总览!N9</f>
        <v>14</v>
      </c>
      <c r="J25" t="s">
        <v>40</v>
      </c>
      <c r="K25" t="s">
        <v>16</v>
      </c>
      <c r="L25" s="5" t="str">
        <f t="shared" si="1"/>
        <v>OK</v>
      </c>
    </row>
    <row r="26" ht="18" customHeight="1" spans="1:12">
      <c r="A26" t="s">
        <v>146</v>
      </c>
      <c r="B26" t="s">
        <v>9</v>
      </c>
      <c r="C26" t="s">
        <v>304</v>
      </c>
      <c r="D26" t="s">
        <v>113</v>
      </c>
      <c r="E26" t="s">
        <v>115</v>
      </c>
      <c r="F26" s="3">
        <f>怪物总览!K9</f>
        <v>9</v>
      </c>
      <c r="G26" s="3">
        <v>1</v>
      </c>
      <c r="H26" s="4">
        <f t="shared" si="0"/>
        <v>9</v>
      </c>
      <c r="I26" s="3">
        <v>0</v>
      </c>
      <c r="J26" t="s">
        <v>40</v>
      </c>
      <c r="K26" t="s">
        <v>16</v>
      </c>
      <c r="L26" s="5" t="str">
        <f t="shared" si="1"/>
        <v>OK</v>
      </c>
    </row>
    <row r="27" ht="18" customHeight="1" spans="1:12">
      <c r="A27" t="s">
        <v>146</v>
      </c>
      <c r="B27" t="s">
        <v>9</v>
      </c>
      <c r="C27" t="s">
        <v>328</v>
      </c>
      <c r="D27" t="s">
        <v>329</v>
      </c>
      <c r="E27" t="s">
        <v>116</v>
      </c>
      <c r="F27" s="3">
        <f>怪物总览!L9</f>
        <v>13</v>
      </c>
      <c r="G27" s="3">
        <v>1</v>
      </c>
      <c r="H27" s="4">
        <f t="shared" si="0"/>
        <v>13</v>
      </c>
      <c r="I27" s="3">
        <v>0</v>
      </c>
      <c r="J27" s="6" t="s">
        <v>330</v>
      </c>
      <c r="K27" t="s">
        <v>16</v>
      </c>
      <c r="L27" s="5" t="str">
        <f t="shared" si="1"/>
        <v>OK</v>
      </c>
    </row>
    <row r="28" ht="18" customHeight="1" spans="1:12">
      <c r="A28" t="s">
        <v>146</v>
      </c>
      <c r="B28" t="s">
        <v>9</v>
      </c>
      <c r="C28" t="s">
        <v>331</v>
      </c>
      <c r="D28" t="s">
        <v>113</v>
      </c>
      <c r="E28" t="s">
        <v>117</v>
      </c>
      <c r="F28" s="3">
        <f>怪物总览!M9</f>
        <v>19</v>
      </c>
      <c r="G28" s="3">
        <v>1</v>
      </c>
      <c r="H28" s="4">
        <f t="shared" si="0"/>
        <v>19</v>
      </c>
      <c r="I28" s="3">
        <v>0</v>
      </c>
      <c r="J28" t="s">
        <v>332</v>
      </c>
      <c r="K28" t="s">
        <v>333</v>
      </c>
      <c r="L28" s="5" t="str">
        <f t="shared" si="1"/>
        <v>OK</v>
      </c>
    </row>
    <row r="29" ht="18" customHeight="1" spans="1:12">
      <c r="A29" t="s">
        <v>151</v>
      </c>
      <c r="B29" t="s">
        <v>9</v>
      </c>
      <c r="C29" t="s">
        <v>334</v>
      </c>
      <c r="D29" t="s">
        <v>299</v>
      </c>
      <c r="E29" t="s">
        <v>300</v>
      </c>
      <c r="F29" s="3">
        <f>0</f>
        <v>0</v>
      </c>
      <c r="G29" s="3">
        <v>1</v>
      </c>
      <c r="H29" s="4">
        <f t="shared" si="0"/>
        <v>0</v>
      </c>
      <c r="I29" s="3">
        <v>0</v>
      </c>
      <c r="J29" t="s">
        <v>335</v>
      </c>
      <c r="K29" t="s">
        <v>16</v>
      </c>
      <c r="L29" s="5" t="str">
        <f t="shared" si="1"/>
        <v>OK</v>
      </c>
    </row>
    <row r="30" ht="18" customHeight="1" spans="1:12">
      <c r="A30" t="s">
        <v>151</v>
      </c>
      <c r="B30" t="s">
        <v>9</v>
      </c>
      <c r="C30" t="s">
        <v>304</v>
      </c>
      <c r="D30" t="s">
        <v>113</v>
      </c>
      <c r="E30" t="s">
        <v>115</v>
      </c>
      <c r="F30" s="3">
        <f>怪物总览!K10</f>
        <v>8</v>
      </c>
      <c r="G30" s="3">
        <v>1</v>
      </c>
      <c r="H30" s="4">
        <f t="shared" si="0"/>
        <v>8</v>
      </c>
      <c r="I30" s="3">
        <v>0</v>
      </c>
      <c r="J30" t="s">
        <v>40</v>
      </c>
      <c r="K30" t="s">
        <v>16</v>
      </c>
      <c r="L30" s="5" t="str">
        <f t="shared" si="1"/>
        <v>OK</v>
      </c>
    </row>
    <row r="31" ht="18" customHeight="1" spans="1:12">
      <c r="A31" t="s">
        <v>151</v>
      </c>
      <c r="B31" t="s">
        <v>9</v>
      </c>
      <c r="C31" t="s">
        <v>336</v>
      </c>
      <c r="D31" t="s">
        <v>337</v>
      </c>
      <c r="E31" t="s">
        <v>116</v>
      </c>
      <c r="F31" s="3">
        <f>怪物总览!L10</f>
        <v>12</v>
      </c>
      <c r="G31" s="3">
        <v>1</v>
      </c>
      <c r="H31" s="4">
        <f t="shared" si="0"/>
        <v>12</v>
      </c>
      <c r="I31" s="3">
        <v>0</v>
      </c>
      <c r="J31" t="s">
        <v>338</v>
      </c>
      <c r="K31" t="s">
        <v>16</v>
      </c>
      <c r="L31" s="5" t="str">
        <f t="shared" si="1"/>
        <v>OK</v>
      </c>
    </row>
    <row r="32" ht="18" customHeight="1" spans="1:12">
      <c r="A32" t="s">
        <v>151</v>
      </c>
      <c r="B32" t="s">
        <v>9</v>
      </c>
      <c r="C32" t="s">
        <v>339</v>
      </c>
      <c r="D32" t="s">
        <v>112</v>
      </c>
      <c r="E32" t="s">
        <v>300</v>
      </c>
      <c r="F32" s="3">
        <f>0</f>
        <v>0</v>
      </c>
      <c r="G32" s="3">
        <v>1</v>
      </c>
      <c r="H32" s="4">
        <f t="shared" si="0"/>
        <v>0</v>
      </c>
      <c r="I32" s="3">
        <f>怪物总览!N10</f>
        <v>12</v>
      </c>
      <c r="J32" t="s">
        <v>40</v>
      </c>
      <c r="K32" t="s">
        <v>16</v>
      </c>
      <c r="L32" s="5" t="str">
        <f t="shared" si="1"/>
        <v>OK</v>
      </c>
    </row>
    <row r="33" ht="18" customHeight="1" spans="1:12">
      <c r="A33" t="s">
        <v>156</v>
      </c>
      <c r="B33" t="s">
        <v>9</v>
      </c>
      <c r="C33" t="s">
        <v>340</v>
      </c>
      <c r="D33" t="s">
        <v>113</v>
      </c>
      <c r="E33" t="s">
        <v>115</v>
      </c>
      <c r="F33" s="3">
        <f>怪物总览!K11</f>
        <v>10</v>
      </c>
      <c r="G33" s="3">
        <v>1</v>
      </c>
      <c r="H33" s="4">
        <f t="shared" si="0"/>
        <v>10</v>
      </c>
      <c r="I33" s="3">
        <v>0</v>
      </c>
      <c r="J33" t="s">
        <v>40</v>
      </c>
      <c r="K33" t="s">
        <v>16</v>
      </c>
      <c r="L33" s="5" t="str">
        <f t="shared" si="1"/>
        <v>OK</v>
      </c>
    </row>
    <row r="34" ht="18" customHeight="1" spans="1:12">
      <c r="A34" t="s">
        <v>156</v>
      </c>
      <c r="B34" t="s">
        <v>9</v>
      </c>
      <c r="C34" t="s">
        <v>341</v>
      </c>
      <c r="D34" t="s">
        <v>342</v>
      </c>
      <c r="E34" t="s">
        <v>300</v>
      </c>
      <c r="F34" s="3">
        <f>0</f>
        <v>0</v>
      </c>
      <c r="G34" s="3">
        <v>1</v>
      </c>
      <c r="H34" s="4">
        <f t="shared" si="0"/>
        <v>0</v>
      </c>
      <c r="I34" s="3">
        <f>怪物总览!N11</f>
        <v>11</v>
      </c>
      <c r="J34" t="s">
        <v>307</v>
      </c>
      <c r="K34" t="s">
        <v>16</v>
      </c>
      <c r="L34" s="5" t="str">
        <f t="shared" si="1"/>
        <v>OK</v>
      </c>
    </row>
    <row r="35" ht="18" customHeight="1" spans="1:12">
      <c r="A35" t="s">
        <v>156</v>
      </c>
      <c r="B35" t="s">
        <v>9</v>
      </c>
      <c r="C35" t="s">
        <v>343</v>
      </c>
      <c r="D35" t="s">
        <v>113</v>
      </c>
      <c r="E35" t="s">
        <v>116</v>
      </c>
      <c r="F35" s="3">
        <f>怪物总览!L11</f>
        <v>16</v>
      </c>
      <c r="G35" s="3">
        <v>1</v>
      </c>
      <c r="H35" s="4">
        <f t="shared" si="0"/>
        <v>16</v>
      </c>
      <c r="I35" s="3">
        <v>0</v>
      </c>
      <c r="J35" t="s">
        <v>40</v>
      </c>
      <c r="K35" t="s">
        <v>16</v>
      </c>
      <c r="L35" s="5" t="str">
        <f t="shared" si="1"/>
        <v>OK</v>
      </c>
    </row>
    <row r="36" ht="18" customHeight="1" spans="1:12">
      <c r="A36" t="s">
        <v>156</v>
      </c>
      <c r="B36" t="s">
        <v>9</v>
      </c>
      <c r="C36" t="s">
        <v>344</v>
      </c>
      <c r="D36" t="s">
        <v>113</v>
      </c>
      <c r="E36" t="s">
        <v>117</v>
      </c>
      <c r="F36" s="3">
        <f>怪物总览!M11</f>
        <v>22</v>
      </c>
      <c r="G36" s="3">
        <v>1</v>
      </c>
      <c r="H36" s="4">
        <f t="shared" si="0"/>
        <v>22</v>
      </c>
      <c r="I36" s="3">
        <v>0</v>
      </c>
      <c r="J36" t="s">
        <v>40</v>
      </c>
      <c r="K36" t="s">
        <v>16</v>
      </c>
      <c r="L36" s="5" t="str">
        <f t="shared" si="1"/>
        <v>OK</v>
      </c>
    </row>
    <row r="37" ht="18" customHeight="1" spans="1:12">
      <c r="A37" t="s">
        <v>161</v>
      </c>
      <c r="B37" t="s">
        <v>9</v>
      </c>
      <c r="C37" t="s">
        <v>345</v>
      </c>
      <c r="D37" t="s">
        <v>299</v>
      </c>
      <c r="E37" t="s">
        <v>300</v>
      </c>
      <c r="F37" s="3">
        <f>0</f>
        <v>0</v>
      </c>
      <c r="G37" s="3">
        <v>1</v>
      </c>
      <c r="H37" s="4">
        <f t="shared" si="0"/>
        <v>0</v>
      </c>
      <c r="I37" s="3">
        <v>0</v>
      </c>
      <c r="J37" t="s">
        <v>330</v>
      </c>
      <c r="K37" t="s">
        <v>16</v>
      </c>
      <c r="L37" s="5" t="str">
        <f t="shared" si="1"/>
        <v>OK</v>
      </c>
    </row>
    <row r="38" ht="18" customHeight="1" spans="1:12">
      <c r="A38" t="s">
        <v>161</v>
      </c>
      <c r="B38" t="s">
        <v>9</v>
      </c>
      <c r="C38" t="s">
        <v>346</v>
      </c>
      <c r="D38" t="s">
        <v>113</v>
      </c>
      <c r="E38" t="s">
        <v>115</v>
      </c>
      <c r="F38" s="3">
        <f>怪物总览!K12</f>
        <v>9</v>
      </c>
      <c r="G38" s="3">
        <v>1</v>
      </c>
      <c r="H38" s="4">
        <f t="shared" si="0"/>
        <v>9</v>
      </c>
      <c r="I38" s="3">
        <v>0</v>
      </c>
      <c r="J38" t="s">
        <v>40</v>
      </c>
      <c r="K38" t="s">
        <v>16</v>
      </c>
      <c r="L38" s="5" t="str">
        <f t="shared" si="1"/>
        <v>OK</v>
      </c>
    </row>
    <row r="39" ht="18" customHeight="1" spans="1:12">
      <c r="A39" t="s">
        <v>161</v>
      </c>
      <c r="B39" t="s">
        <v>9</v>
      </c>
      <c r="C39" t="s">
        <v>347</v>
      </c>
      <c r="D39" t="s">
        <v>348</v>
      </c>
      <c r="E39" t="s">
        <v>116</v>
      </c>
      <c r="F39" s="3">
        <f>怪物总览!L12</f>
        <v>13</v>
      </c>
      <c r="G39" s="3">
        <v>1</v>
      </c>
      <c r="H39" s="4">
        <f t="shared" si="0"/>
        <v>13</v>
      </c>
      <c r="I39" s="3">
        <v>0</v>
      </c>
      <c r="J39" s="6" t="s">
        <v>349</v>
      </c>
      <c r="K39" t="s">
        <v>16</v>
      </c>
      <c r="L39" s="5" t="str">
        <f t="shared" si="1"/>
        <v>OK</v>
      </c>
    </row>
    <row r="40" ht="18" customHeight="1" spans="1:12">
      <c r="A40" t="s">
        <v>161</v>
      </c>
      <c r="B40" t="s">
        <v>9</v>
      </c>
      <c r="C40" t="s">
        <v>350</v>
      </c>
      <c r="D40" t="s">
        <v>113</v>
      </c>
      <c r="E40" t="s">
        <v>117</v>
      </c>
      <c r="F40" s="3">
        <f>怪物总览!M12</f>
        <v>19</v>
      </c>
      <c r="G40" s="3">
        <v>1</v>
      </c>
      <c r="H40" s="4">
        <f t="shared" si="0"/>
        <v>19</v>
      </c>
      <c r="I40" s="3">
        <v>0</v>
      </c>
      <c r="J40" t="s">
        <v>40</v>
      </c>
      <c r="K40" t="s">
        <v>16</v>
      </c>
      <c r="L40" s="5" t="str">
        <f t="shared" si="1"/>
        <v>OK</v>
      </c>
    </row>
    <row r="41" ht="18" customHeight="1" spans="1:12">
      <c r="A41" t="s">
        <v>166</v>
      </c>
      <c r="B41" t="s">
        <v>9</v>
      </c>
      <c r="C41" t="s">
        <v>304</v>
      </c>
      <c r="D41" t="s">
        <v>113</v>
      </c>
      <c r="E41" t="s">
        <v>115</v>
      </c>
      <c r="F41" s="3">
        <f>怪物总览!K13</f>
        <v>8</v>
      </c>
      <c r="G41" s="3">
        <v>1</v>
      </c>
      <c r="H41" s="4">
        <f>F41*G41</f>
        <v>8</v>
      </c>
      <c r="I41" s="3">
        <v>0</v>
      </c>
      <c r="J41" t="s">
        <v>40</v>
      </c>
      <c r="K41" t="s">
        <v>16</v>
      </c>
      <c r="L41" s="5" t="str">
        <f>IF(OR(G41&lt;1,I41&lt;0),"\u203c","OK")</f>
        <v>OK</v>
      </c>
    </row>
    <row r="42" ht="18" customHeight="1" spans="1:12">
      <c r="A42" t="s">
        <v>166</v>
      </c>
      <c r="B42" t="s">
        <v>9</v>
      </c>
      <c r="C42" t="s">
        <v>351</v>
      </c>
      <c r="D42" t="s">
        <v>299</v>
      </c>
      <c r="E42" t="s">
        <v>300</v>
      </c>
      <c r="F42" s="3">
        <f>0</f>
        <v>0</v>
      </c>
      <c r="G42" s="3">
        <v>1</v>
      </c>
      <c r="H42" s="4">
        <f>F42*G42</f>
        <v>0</v>
      </c>
      <c r="I42" s="3">
        <v>0</v>
      </c>
      <c r="J42" t="s">
        <v>335</v>
      </c>
      <c r="K42" t="s">
        <v>16</v>
      </c>
      <c r="L42" s="5" t="str">
        <f>IF(OR(G42&lt;1,I42&lt;0),"\u203c","OK")</f>
        <v>OK</v>
      </c>
    </row>
    <row r="43" ht="18" customHeight="1" spans="1:12">
      <c r="A43" t="s">
        <v>166</v>
      </c>
      <c r="B43" t="s">
        <v>9</v>
      </c>
      <c r="C43" t="s">
        <v>352</v>
      </c>
      <c r="D43" t="s">
        <v>353</v>
      </c>
      <c r="E43" t="s">
        <v>300</v>
      </c>
      <c r="F43" s="3">
        <f>0</f>
        <v>0</v>
      </c>
      <c r="G43" s="3">
        <v>1</v>
      </c>
      <c r="H43" s="4">
        <f>F43*G43</f>
        <v>0</v>
      </c>
      <c r="I43" s="3">
        <f>怪物总览!N13</f>
        <v>11</v>
      </c>
      <c r="J43" t="s">
        <v>354</v>
      </c>
      <c r="K43" t="s">
        <v>16</v>
      </c>
      <c r="L43" s="5" t="str">
        <f>IF(OR(G43&lt;1,I43&lt;0),"\u203c","OK")</f>
        <v>OK</v>
      </c>
    </row>
    <row r="44" ht="18" customHeight="1" spans="1:12">
      <c r="A44" t="s">
        <v>166</v>
      </c>
      <c r="B44" t="s">
        <v>9</v>
      </c>
      <c r="C44" t="s">
        <v>355</v>
      </c>
      <c r="D44" t="s">
        <v>113</v>
      </c>
      <c r="E44" t="s">
        <v>116</v>
      </c>
      <c r="F44" s="3">
        <f>怪物总览!L13</f>
        <v>12</v>
      </c>
      <c r="G44" s="3">
        <v>1</v>
      </c>
      <c r="H44" s="4">
        <f>F44*G44</f>
        <v>12</v>
      </c>
      <c r="I44" s="3">
        <v>0</v>
      </c>
      <c r="J44" t="s">
        <v>40</v>
      </c>
      <c r="K44" t="s">
        <v>16</v>
      </c>
      <c r="L44" s="5" t="str">
        <f>IF(OR(G44&lt;1,I44&lt;0),"\u203c","OK")</f>
        <v>OK</v>
      </c>
    </row>
    <row r="45" ht="18" customHeight="1" spans="1:12">
      <c r="A45" t="s">
        <v>171</v>
      </c>
      <c r="B45" t="s">
        <v>9</v>
      </c>
      <c r="C45" t="s">
        <v>356</v>
      </c>
      <c r="D45" t="s">
        <v>299</v>
      </c>
      <c r="E45" t="s">
        <v>300</v>
      </c>
      <c r="F45" s="3">
        <f>0</f>
        <v>0</v>
      </c>
      <c r="G45" s="3">
        <v>1</v>
      </c>
      <c r="H45" s="4">
        <f>F45*G45</f>
        <v>0</v>
      </c>
      <c r="I45" s="3">
        <v>0</v>
      </c>
      <c r="J45" t="s">
        <v>324</v>
      </c>
      <c r="K45" t="s">
        <v>16</v>
      </c>
      <c r="L45" s="5" t="str">
        <f>IF(OR(G45&lt;1,I45&lt;0),"\u203c","OK")</f>
        <v>OK</v>
      </c>
    </row>
    <row r="46" ht="18" customHeight="1" spans="1:12">
      <c r="A46" t="s">
        <v>171</v>
      </c>
      <c r="B46" t="s">
        <v>9</v>
      </c>
      <c r="C46" t="s">
        <v>325</v>
      </c>
      <c r="D46" t="s">
        <v>113</v>
      </c>
      <c r="E46" t="s">
        <v>115</v>
      </c>
      <c r="F46" s="3">
        <f>怪物总览!K14</f>
        <v>9</v>
      </c>
      <c r="G46" s="3">
        <v>1</v>
      </c>
      <c r="H46" s="4">
        <f>F46*G46</f>
        <v>9</v>
      </c>
      <c r="I46" s="3">
        <v>0</v>
      </c>
      <c r="J46" t="s">
        <v>40</v>
      </c>
      <c r="K46" t="s">
        <v>16</v>
      </c>
      <c r="L46" s="5" t="str">
        <f>IF(OR(G46&lt;1,I46&lt;0),"\u203c","OK")</f>
        <v>OK</v>
      </c>
    </row>
    <row r="47" ht="18" customHeight="1" spans="1:12">
      <c r="A47" t="s">
        <v>171</v>
      </c>
      <c r="B47" t="s">
        <v>9</v>
      </c>
      <c r="C47" t="s">
        <v>308</v>
      </c>
      <c r="D47" t="s">
        <v>112</v>
      </c>
      <c r="E47" t="s">
        <v>300</v>
      </c>
      <c r="F47" s="3">
        <f>0</f>
        <v>0</v>
      </c>
      <c r="G47" s="3">
        <v>1</v>
      </c>
      <c r="H47" s="4">
        <f>F47*G47</f>
        <v>0</v>
      </c>
      <c r="I47" s="3">
        <f>怪物总览!N14</f>
        <v>13</v>
      </c>
      <c r="J47" t="s">
        <v>40</v>
      </c>
      <c r="K47" t="s">
        <v>16</v>
      </c>
      <c r="L47" s="5" t="str">
        <f>IF(OR(G47&lt;1,I47&lt;0),"\u203c","OK")</f>
        <v>OK</v>
      </c>
    </row>
    <row r="48" ht="18" customHeight="1" spans="1:12">
      <c r="A48" t="s">
        <v>171</v>
      </c>
      <c r="B48" t="s">
        <v>9</v>
      </c>
      <c r="C48" t="s">
        <v>309</v>
      </c>
      <c r="D48" t="s">
        <v>113</v>
      </c>
      <c r="E48" t="s">
        <v>116</v>
      </c>
      <c r="F48" s="3">
        <f>怪物总览!L14</f>
        <v>14</v>
      </c>
      <c r="G48" s="3">
        <v>1</v>
      </c>
      <c r="H48" s="4">
        <f>F48*G48</f>
        <v>14</v>
      </c>
      <c r="I48" s="3">
        <v>0</v>
      </c>
      <c r="J48" t="s">
        <v>40</v>
      </c>
      <c r="K48" t="s">
        <v>16</v>
      </c>
      <c r="L48" s="5" t="str">
        <f>IF(OR(G48&lt;1,I48&lt;0),"\u203c","OK")</f>
        <v>OK</v>
      </c>
    </row>
    <row r="49" ht="18" customHeight="1" spans="1:12">
      <c r="A49" t="s">
        <v>175</v>
      </c>
      <c r="B49" t="s">
        <v>9</v>
      </c>
      <c r="C49" t="s">
        <v>357</v>
      </c>
      <c r="D49" t="s">
        <v>112</v>
      </c>
      <c r="E49" t="s">
        <v>300</v>
      </c>
      <c r="F49" s="3">
        <f>0</f>
        <v>0</v>
      </c>
      <c r="G49" s="3">
        <v>1</v>
      </c>
      <c r="H49" s="4">
        <f>F49*G49</f>
        <v>0</v>
      </c>
      <c r="I49" s="3">
        <f>怪物总览!N15</f>
        <v>14</v>
      </c>
      <c r="J49" t="s">
        <v>40</v>
      </c>
      <c r="K49" t="s">
        <v>16</v>
      </c>
      <c r="L49" s="5" t="str">
        <f>IF(OR(G49&lt;1,I49&lt;0),"\u203c","OK")</f>
        <v>OK</v>
      </c>
    </row>
    <row r="50" ht="18" customHeight="1" spans="1:12">
      <c r="A50" t="s">
        <v>175</v>
      </c>
      <c r="B50" t="s">
        <v>9</v>
      </c>
      <c r="C50" t="s">
        <v>304</v>
      </c>
      <c r="D50" t="s">
        <v>113</v>
      </c>
      <c r="E50" t="s">
        <v>115</v>
      </c>
      <c r="F50" s="3">
        <f>怪物总览!K15</f>
        <v>8</v>
      </c>
      <c r="G50" s="3">
        <v>1</v>
      </c>
      <c r="H50" s="4">
        <f>F50*G50</f>
        <v>8</v>
      </c>
      <c r="I50" s="3">
        <v>0</v>
      </c>
      <c r="J50" t="s">
        <v>40</v>
      </c>
      <c r="K50" t="s">
        <v>16</v>
      </c>
      <c r="L50" s="5" t="str">
        <f>IF(OR(G50&lt;1,I50&lt;0),"\u203c","OK")</f>
        <v>OK</v>
      </c>
    </row>
    <row r="51" ht="18" customHeight="1" spans="1:12">
      <c r="A51" t="s">
        <v>175</v>
      </c>
      <c r="B51" t="s">
        <v>9</v>
      </c>
      <c r="C51" t="s">
        <v>305</v>
      </c>
      <c r="D51" t="s">
        <v>306</v>
      </c>
      <c r="E51" t="s">
        <v>300</v>
      </c>
      <c r="F51" s="3">
        <f>0</f>
        <v>0</v>
      </c>
      <c r="G51" s="3">
        <v>1</v>
      </c>
      <c r="H51" s="4">
        <f>F51*G51</f>
        <v>0</v>
      </c>
      <c r="I51" s="3">
        <v>0</v>
      </c>
      <c r="J51" t="s">
        <v>307</v>
      </c>
      <c r="K51" t="s">
        <v>16</v>
      </c>
      <c r="L51" s="5" t="str">
        <f>IF(OR(G51&lt;1,I51&lt;0),"\u203c","OK")</f>
        <v>OK</v>
      </c>
    </row>
    <row r="52" ht="18" customHeight="1" spans="1:12">
      <c r="A52" t="s">
        <v>175</v>
      </c>
      <c r="B52" t="s">
        <v>9</v>
      </c>
      <c r="C52" t="s">
        <v>358</v>
      </c>
      <c r="D52" t="s">
        <v>113</v>
      </c>
      <c r="E52" t="s">
        <v>116</v>
      </c>
      <c r="F52" s="3">
        <f>怪物总览!L15</f>
        <v>12</v>
      </c>
      <c r="G52" s="3">
        <v>1</v>
      </c>
      <c r="H52" s="4">
        <f>F52*G52</f>
        <v>12</v>
      </c>
      <c r="I52" s="3">
        <v>0</v>
      </c>
      <c r="J52" t="s">
        <v>40</v>
      </c>
      <c r="K52" t="s">
        <v>16</v>
      </c>
      <c r="L52" s="5" t="str">
        <f>IF(OR(G52&lt;1,I52&lt;0),"\u203c","OK")</f>
        <v>OK</v>
      </c>
    </row>
    <row r="53" ht="18" customHeight="1" spans="1:12">
      <c r="A53" t="s">
        <v>179</v>
      </c>
      <c r="B53" t="s">
        <v>9</v>
      </c>
      <c r="C53" t="s">
        <v>359</v>
      </c>
      <c r="D53" t="s">
        <v>342</v>
      </c>
      <c r="E53" t="s">
        <v>300</v>
      </c>
      <c r="F53" s="3">
        <f>0</f>
        <v>0</v>
      </c>
      <c r="G53" s="3">
        <v>1</v>
      </c>
      <c r="H53" s="4">
        <f>F53*G53</f>
        <v>0</v>
      </c>
      <c r="I53" s="3">
        <f>怪物总览!N16</f>
        <v>13</v>
      </c>
      <c r="J53" t="s">
        <v>307</v>
      </c>
      <c r="K53" t="s">
        <v>16</v>
      </c>
      <c r="L53" s="5" t="str">
        <f>IF(OR(G53&lt;1,I53&lt;0),"\u203c","OK")</f>
        <v>OK</v>
      </c>
    </row>
    <row r="54" ht="18" customHeight="1" spans="1:12">
      <c r="A54" t="s">
        <v>179</v>
      </c>
      <c r="B54" t="s">
        <v>9</v>
      </c>
      <c r="C54" t="s">
        <v>360</v>
      </c>
      <c r="D54" t="s">
        <v>113</v>
      </c>
      <c r="E54" t="s">
        <v>115</v>
      </c>
      <c r="F54" s="3">
        <f>怪物总览!K16</f>
        <v>8</v>
      </c>
      <c r="G54" s="3">
        <v>1</v>
      </c>
      <c r="H54" s="4">
        <f>F54*G54</f>
        <v>8</v>
      </c>
      <c r="I54" s="3">
        <v>0</v>
      </c>
      <c r="J54" t="s">
        <v>40</v>
      </c>
      <c r="K54" t="s">
        <v>16</v>
      </c>
      <c r="L54" s="5" t="str">
        <f>IF(OR(G54&lt;1,I54&lt;0),"\u203c","OK")</f>
        <v>OK</v>
      </c>
    </row>
    <row r="55" ht="18" customHeight="1" spans="1:12">
      <c r="A55" t="s">
        <v>179</v>
      </c>
      <c r="B55" t="s">
        <v>9</v>
      </c>
      <c r="C55" t="s">
        <v>361</v>
      </c>
      <c r="D55" t="s">
        <v>113</v>
      </c>
      <c r="E55" t="s">
        <v>116</v>
      </c>
      <c r="F55" s="3">
        <f>怪物总览!L16</f>
        <v>12</v>
      </c>
      <c r="G55" s="3">
        <v>1</v>
      </c>
      <c r="H55" s="4">
        <f>F55*G55</f>
        <v>12</v>
      </c>
      <c r="I55" s="3">
        <v>0</v>
      </c>
      <c r="J55" t="s">
        <v>40</v>
      </c>
      <c r="K55" t="s">
        <v>16</v>
      </c>
      <c r="L55" s="5" t="str">
        <f>IF(OR(G55&lt;1,I55&lt;0),"\u203c","OK")</f>
        <v>OK</v>
      </c>
    </row>
    <row r="56" ht="18" customHeight="1" spans="1:12">
      <c r="A56" t="s">
        <v>179</v>
      </c>
      <c r="B56" t="s">
        <v>9</v>
      </c>
      <c r="C56" t="s">
        <v>362</v>
      </c>
      <c r="D56" t="s">
        <v>31</v>
      </c>
      <c r="E56" t="s">
        <v>315</v>
      </c>
      <c r="F56" s="3">
        <f>ROUND(怪物总览!L16/G56,0)</f>
        <v>4</v>
      </c>
      <c r="G56" s="3">
        <v>3</v>
      </c>
      <c r="H56" s="4">
        <f>F56*G56</f>
        <v>12</v>
      </c>
      <c r="I56" s="3">
        <v>0</v>
      </c>
      <c r="J56" t="s">
        <v>40</v>
      </c>
      <c r="K56" t="s">
        <v>16</v>
      </c>
      <c r="L56" s="5" t="str">
        <f>IF(OR(G56&lt;1,I56&lt;0),"\u203c","OK")</f>
        <v>OK</v>
      </c>
    </row>
    <row r="57" ht="18" customHeight="1" spans="1:12">
      <c r="A57" t="s">
        <v>184</v>
      </c>
      <c r="B57" t="s">
        <v>9</v>
      </c>
      <c r="C57" t="s">
        <v>363</v>
      </c>
      <c r="D57" t="s">
        <v>348</v>
      </c>
      <c r="E57" t="s">
        <v>115</v>
      </c>
      <c r="F57" s="3">
        <f>怪物总览!K17</f>
        <v>8</v>
      </c>
      <c r="G57" s="3">
        <v>1</v>
      </c>
      <c r="H57" s="4">
        <f>F57*G57</f>
        <v>8</v>
      </c>
      <c r="I57" s="3">
        <v>0</v>
      </c>
      <c r="J57" s="6" t="s">
        <v>364</v>
      </c>
      <c r="K57" t="s">
        <v>16</v>
      </c>
      <c r="L57" s="5" t="str">
        <f>IF(OR(G57&lt;1,I57&lt;0),"\u203c","OK")</f>
        <v>OK</v>
      </c>
    </row>
    <row r="58" ht="18" customHeight="1" spans="1:12">
      <c r="A58" t="s">
        <v>184</v>
      </c>
      <c r="B58" t="s">
        <v>9</v>
      </c>
      <c r="C58" t="s">
        <v>365</v>
      </c>
      <c r="D58" t="s">
        <v>113</v>
      </c>
      <c r="E58" t="s">
        <v>116</v>
      </c>
      <c r="F58" s="3">
        <f>怪物总览!L17</f>
        <v>12</v>
      </c>
      <c r="G58" s="3">
        <v>1</v>
      </c>
      <c r="H58" s="4">
        <f>F58*G58</f>
        <v>12</v>
      </c>
      <c r="I58" s="3">
        <v>0</v>
      </c>
      <c r="J58" t="s">
        <v>40</v>
      </c>
      <c r="K58" t="s">
        <v>16</v>
      </c>
      <c r="L58" s="5" t="str">
        <f>IF(OR(G58&lt;1,I58&lt;0),"\u203c","OK")</f>
        <v>OK</v>
      </c>
    </row>
    <row r="59" ht="18" customHeight="1" spans="1:12">
      <c r="A59" t="s">
        <v>184</v>
      </c>
      <c r="B59" t="s">
        <v>9</v>
      </c>
      <c r="C59" t="s">
        <v>366</v>
      </c>
      <c r="D59" t="s">
        <v>342</v>
      </c>
      <c r="E59" t="s">
        <v>300</v>
      </c>
      <c r="F59" s="3">
        <f>0</f>
        <v>0</v>
      </c>
      <c r="G59" s="3">
        <v>1</v>
      </c>
      <c r="H59" s="4">
        <f>F59*G59</f>
        <v>0</v>
      </c>
      <c r="I59" s="3">
        <f>怪物总览!N17</f>
        <v>14</v>
      </c>
      <c r="J59" t="s">
        <v>307</v>
      </c>
      <c r="K59" t="s">
        <v>16</v>
      </c>
      <c r="L59" s="5" t="str">
        <f>IF(OR(G59&lt;1,I59&lt;0),"\u203c","OK")</f>
        <v>OK</v>
      </c>
    </row>
    <row r="60" ht="18" customHeight="1" spans="1:12">
      <c r="A60" t="s">
        <v>184</v>
      </c>
      <c r="B60" t="s">
        <v>9</v>
      </c>
      <c r="C60" t="s">
        <v>367</v>
      </c>
      <c r="D60" t="s">
        <v>299</v>
      </c>
      <c r="E60" t="s">
        <v>300</v>
      </c>
      <c r="F60" s="3">
        <f>0</f>
        <v>0</v>
      </c>
      <c r="G60" s="3">
        <v>1</v>
      </c>
      <c r="H60" s="4">
        <f>F60*G60</f>
        <v>0</v>
      </c>
      <c r="I60" s="3">
        <v>0</v>
      </c>
      <c r="J60" t="s">
        <v>335</v>
      </c>
      <c r="K60" t="s">
        <v>16</v>
      </c>
      <c r="L60" s="5" t="str">
        <f>IF(OR(G60&lt;1,I60&lt;0),"\u203c","OK")</f>
        <v>OK</v>
      </c>
    </row>
    <row r="61" ht="18" customHeight="1" spans="1:12">
      <c r="A61" t="s">
        <v>189</v>
      </c>
      <c r="B61" t="s">
        <v>9</v>
      </c>
      <c r="C61" t="s">
        <v>368</v>
      </c>
      <c r="D61" t="s">
        <v>306</v>
      </c>
      <c r="E61" t="s">
        <v>300</v>
      </c>
      <c r="F61" s="3">
        <f>0</f>
        <v>0</v>
      </c>
      <c r="G61" s="3">
        <v>1</v>
      </c>
      <c r="H61" s="4">
        <f>F61*G61</f>
        <v>0</v>
      </c>
      <c r="I61" s="3">
        <v>0</v>
      </c>
      <c r="J61" t="s">
        <v>369</v>
      </c>
      <c r="K61" t="s">
        <v>16</v>
      </c>
      <c r="L61" s="5" t="str">
        <f>IF(OR(G61&lt;1,I61&lt;0),"\u203c","OK")</f>
        <v>OK</v>
      </c>
    </row>
    <row r="62" ht="18" customHeight="1" spans="1:12">
      <c r="A62" t="s">
        <v>189</v>
      </c>
      <c r="B62" t="s">
        <v>9</v>
      </c>
      <c r="C62" t="s">
        <v>370</v>
      </c>
      <c r="D62" t="s">
        <v>113</v>
      </c>
      <c r="E62" t="s">
        <v>115</v>
      </c>
      <c r="F62" s="3">
        <f>怪物总览!K18</f>
        <v>3</v>
      </c>
      <c r="G62" s="3">
        <v>1</v>
      </c>
      <c r="H62" s="4">
        <f>F62*G62</f>
        <v>3</v>
      </c>
      <c r="I62" s="3">
        <v>0</v>
      </c>
      <c r="J62" t="s">
        <v>40</v>
      </c>
      <c r="K62" t="s">
        <v>16</v>
      </c>
      <c r="L62" s="5" t="str">
        <f>IF(OR(G62&lt;1,I62&lt;0),"\u203c","OK")</f>
        <v>OK</v>
      </c>
    </row>
    <row r="63" ht="18" customHeight="1" spans="1:12">
      <c r="A63" t="s">
        <v>189</v>
      </c>
      <c r="B63" t="s">
        <v>9</v>
      </c>
      <c r="C63" t="s">
        <v>371</v>
      </c>
      <c r="D63" t="s">
        <v>31</v>
      </c>
      <c r="E63" t="s">
        <v>315</v>
      </c>
      <c r="F63" s="3">
        <f>ROUND(怪物总览!L18/G63,0)</f>
        <v>9</v>
      </c>
      <c r="G63" s="3">
        <v>2</v>
      </c>
      <c r="H63" s="4">
        <f>F63*G63</f>
        <v>18</v>
      </c>
      <c r="I63" s="3">
        <v>0</v>
      </c>
      <c r="J63" t="s">
        <v>40</v>
      </c>
      <c r="K63" t="s">
        <v>16</v>
      </c>
      <c r="L63" s="5" t="str">
        <f>IF(OR(G63&lt;1,I63&lt;0),"\u203c","OK")</f>
        <v>OK</v>
      </c>
    </row>
    <row r="64" ht="18" customHeight="1" spans="1:12">
      <c r="A64" t="s">
        <v>189</v>
      </c>
      <c r="B64" t="s">
        <v>9</v>
      </c>
      <c r="C64" t="s">
        <v>372</v>
      </c>
      <c r="D64" t="s">
        <v>113</v>
      </c>
      <c r="E64" t="s">
        <v>116</v>
      </c>
      <c r="F64" s="3">
        <f>怪物总览!L18</f>
        <v>18</v>
      </c>
      <c r="G64" s="3">
        <v>1</v>
      </c>
      <c r="H64" s="4">
        <f>F64*G64</f>
        <v>18</v>
      </c>
      <c r="I64" s="3">
        <v>0</v>
      </c>
      <c r="J64" t="s">
        <v>40</v>
      </c>
      <c r="K64" t="s">
        <v>16</v>
      </c>
      <c r="L64" s="5" t="str">
        <f>IF(OR(G64&lt;1,I64&lt;0),"\u203c","OK")</f>
        <v>OK</v>
      </c>
    </row>
    <row r="65" ht="18" customHeight="1" spans="1:12">
      <c r="A65" t="s">
        <v>194</v>
      </c>
      <c r="B65" t="s">
        <v>9</v>
      </c>
      <c r="C65" t="s">
        <v>373</v>
      </c>
      <c r="D65" t="s">
        <v>329</v>
      </c>
      <c r="E65" t="s">
        <v>115</v>
      </c>
      <c r="F65" s="3">
        <f>怪物总览!K19</f>
        <v>9</v>
      </c>
      <c r="G65" s="3">
        <v>1</v>
      </c>
      <c r="H65" s="4">
        <f>F65*G65</f>
        <v>9</v>
      </c>
      <c r="I65" s="3">
        <v>0</v>
      </c>
      <c r="J65" t="s">
        <v>301</v>
      </c>
      <c r="K65" t="s">
        <v>16</v>
      </c>
      <c r="L65" s="5" t="str">
        <f>IF(OR(G65&lt;1,I65&lt;0),"\u203c","OK")</f>
        <v>OK</v>
      </c>
    </row>
    <row r="66" ht="18" customHeight="1" spans="1:12">
      <c r="A66" t="s">
        <v>194</v>
      </c>
      <c r="B66" t="s">
        <v>9</v>
      </c>
      <c r="C66" t="s">
        <v>374</v>
      </c>
      <c r="D66" t="s">
        <v>112</v>
      </c>
      <c r="E66" t="s">
        <v>300</v>
      </c>
      <c r="F66" s="3">
        <f>0</f>
        <v>0</v>
      </c>
      <c r="G66" s="3">
        <v>1</v>
      </c>
      <c r="H66" s="4">
        <f>F66*G66</f>
        <v>0</v>
      </c>
      <c r="I66" s="3">
        <f>怪物总览!N19</f>
        <v>17</v>
      </c>
      <c r="J66" t="s">
        <v>40</v>
      </c>
      <c r="K66" t="s">
        <v>16</v>
      </c>
      <c r="L66" s="5" t="str">
        <f>IF(OR(G66&lt;1,I66&lt;0),"\u203c","OK")</f>
        <v>OK</v>
      </c>
    </row>
    <row r="67" ht="18" customHeight="1" spans="1:12">
      <c r="A67" t="s">
        <v>194</v>
      </c>
      <c r="B67" t="s">
        <v>9</v>
      </c>
      <c r="C67" t="s">
        <v>375</v>
      </c>
      <c r="D67" t="s">
        <v>299</v>
      </c>
      <c r="E67" t="s">
        <v>300</v>
      </c>
      <c r="F67" s="3">
        <f>0</f>
        <v>0</v>
      </c>
      <c r="G67" s="3">
        <v>1</v>
      </c>
      <c r="H67" s="4">
        <f>F67*G67</f>
        <v>0</v>
      </c>
      <c r="I67" s="3">
        <v>0</v>
      </c>
      <c r="J67" t="s">
        <v>335</v>
      </c>
      <c r="K67" t="s">
        <v>16</v>
      </c>
      <c r="L67" s="5" t="str">
        <f>IF(OR(G67&lt;1,I67&lt;0),"\u203c","OK")</f>
        <v>OK</v>
      </c>
    </row>
    <row r="68" ht="18" customHeight="1" spans="1:12">
      <c r="A68" t="s">
        <v>194</v>
      </c>
      <c r="B68" t="s">
        <v>9</v>
      </c>
      <c r="C68" t="s">
        <v>376</v>
      </c>
      <c r="D68" t="s">
        <v>113</v>
      </c>
      <c r="E68" t="s">
        <v>116</v>
      </c>
      <c r="F68" s="3">
        <f>怪物总览!L19</f>
        <v>14</v>
      </c>
      <c r="G68" s="3">
        <v>1</v>
      </c>
      <c r="H68" s="4">
        <f>F68*G68</f>
        <v>14</v>
      </c>
      <c r="I68" s="3">
        <v>0</v>
      </c>
      <c r="J68" t="s">
        <v>40</v>
      </c>
      <c r="K68" t="s">
        <v>16</v>
      </c>
      <c r="L68" s="5" t="str">
        <f>IF(OR(G68&lt;1,I68&lt;0),"\u203c","OK")</f>
        <v>OK</v>
      </c>
    </row>
    <row r="69" ht="18" customHeight="1" spans="1:12">
      <c r="A69" t="s">
        <v>198</v>
      </c>
      <c r="B69" t="s">
        <v>9</v>
      </c>
      <c r="C69" t="s">
        <v>377</v>
      </c>
      <c r="D69" t="s">
        <v>112</v>
      </c>
      <c r="E69" t="s">
        <v>300</v>
      </c>
      <c r="F69" s="3">
        <f>0</f>
        <v>0</v>
      </c>
      <c r="G69" s="3">
        <v>1</v>
      </c>
      <c r="H69" s="4">
        <f>F69*G69</f>
        <v>0</v>
      </c>
      <c r="I69" s="3">
        <f>怪物总览!N20</f>
        <v>22</v>
      </c>
      <c r="J69" t="s">
        <v>40</v>
      </c>
      <c r="K69" t="s">
        <v>16</v>
      </c>
      <c r="L69" s="5" t="str">
        <f>IF(OR(G69&lt;1,I69&lt;0),"\u203c","OK")</f>
        <v>OK</v>
      </c>
    </row>
    <row r="70" ht="18" customHeight="1" spans="1:12">
      <c r="A70" t="s">
        <v>198</v>
      </c>
      <c r="B70" t="s">
        <v>9</v>
      </c>
      <c r="C70" t="s">
        <v>378</v>
      </c>
      <c r="D70" t="s">
        <v>113</v>
      </c>
      <c r="E70" t="s">
        <v>115</v>
      </c>
      <c r="F70" s="3">
        <f>怪物总览!K20</f>
        <v>6</v>
      </c>
      <c r="G70" s="3">
        <v>1</v>
      </c>
      <c r="H70" s="4">
        <f>F70*G70</f>
        <v>6</v>
      </c>
      <c r="I70" s="3">
        <v>0</v>
      </c>
      <c r="J70" t="s">
        <v>40</v>
      </c>
      <c r="K70" t="s">
        <v>16</v>
      </c>
      <c r="L70" s="5" t="str">
        <f>IF(OR(G70&lt;1,I70&lt;0),"\u203c","OK")</f>
        <v>OK</v>
      </c>
    </row>
    <row r="71" ht="18" customHeight="1" spans="1:12">
      <c r="A71" t="s">
        <v>198</v>
      </c>
      <c r="B71" t="s">
        <v>9</v>
      </c>
      <c r="C71" t="s">
        <v>379</v>
      </c>
      <c r="D71" t="s">
        <v>113</v>
      </c>
      <c r="E71" t="s">
        <v>116</v>
      </c>
      <c r="F71" s="3">
        <f>怪物总览!L20</f>
        <v>9</v>
      </c>
      <c r="G71" s="3">
        <v>1</v>
      </c>
      <c r="H71" s="4">
        <f>F71*G71</f>
        <v>9</v>
      </c>
      <c r="I71" s="3">
        <v>0</v>
      </c>
      <c r="J71" t="s">
        <v>40</v>
      </c>
      <c r="K71" t="s">
        <v>16</v>
      </c>
      <c r="L71" s="5" t="str">
        <f>IF(OR(G71&lt;1,I71&lt;0),"\u203c","OK")</f>
        <v>OK</v>
      </c>
    </row>
    <row r="72" ht="18" customHeight="1" spans="1:12">
      <c r="A72" t="s">
        <v>198</v>
      </c>
      <c r="B72" t="s">
        <v>9</v>
      </c>
      <c r="C72" t="s">
        <v>380</v>
      </c>
      <c r="D72" t="s">
        <v>113</v>
      </c>
      <c r="E72" t="s">
        <v>117</v>
      </c>
      <c r="F72" s="3">
        <f>怪物总览!M20</f>
        <v>13</v>
      </c>
      <c r="G72" s="3">
        <v>1</v>
      </c>
      <c r="H72" s="4">
        <f>F72*G72</f>
        <v>13</v>
      </c>
      <c r="I72" s="3">
        <v>0</v>
      </c>
      <c r="J72" t="s">
        <v>40</v>
      </c>
      <c r="K72" t="s">
        <v>16</v>
      </c>
      <c r="L72" s="5" t="str">
        <f>IF(OR(G72&lt;1,I72&lt;0),"\u203c","OK")</f>
        <v>OK</v>
      </c>
    </row>
    <row r="73" ht="18" customHeight="1" spans="1:12">
      <c r="A73" t="s">
        <v>202</v>
      </c>
      <c r="B73" t="s">
        <v>9</v>
      </c>
      <c r="C73" t="s">
        <v>381</v>
      </c>
      <c r="D73" t="s">
        <v>382</v>
      </c>
      <c r="E73" t="s">
        <v>300</v>
      </c>
      <c r="F73" s="3">
        <f>0</f>
        <v>0</v>
      </c>
      <c r="G73" s="3">
        <v>1</v>
      </c>
      <c r="H73" s="4">
        <f>F73*G73</f>
        <v>0</v>
      </c>
      <c r="I73" s="3">
        <v>0</v>
      </c>
      <c r="J73" t="s">
        <v>383</v>
      </c>
      <c r="K73" t="s">
        <v>16</v>
      </c>
      <c r="L73" s="5" t="str">
        <f>IF(OR(G73&lt;1,I73&lt;0),"\u203c","OK")</f>
        <v>OK</v>
      </c>
    </row>
    <row r="74" ht="18" customHeight="1" spans="1:12">
      <c r="A74" t="s">
        <v>202</v>
      </c>
      <c r="B74" t="s">
        <v>9</v>
      </c>
      <c r="C74" t="s">
        <v>363</v>
      </c>
      <c r="D74" t="s">
        <v>113</v>
      </c>
      <c r="E74" t="s">
        <v>115</v>
      </c>
      <c r="F74" s="3">
        <f>怪物总览!K21</f>
        <v>11</v>
      </c>
      <c r="G74" s="3">
        <v>1</v>
      </c>
      <c r="H74" s="4">
        <f>F74*G74</f>
        <v>11</v>
      </c>
      <c r="I74" s="3">
        <v>0</v>
      </c>
      <c r="J74" t="s">
        <v>40</v>
      </c>
      <c r="K74" t="s">
        <v>16</v>
      </c>
      <c r="L74" s="5" t="str">
        <f>IF(OR(G74&lt;1,I74&lt;0),"\u203c","OK")</f>
        <v>OK</v>
      </c>
    </row>
    <row r="75" ht="18" customHeight="1" spans="1:12">
      <c r="A75" t="s">
        <v>202</v>
      </c>
      <c r="B75" t="s">
        <v>9</v>
      </c>
      <c r="C75" t="s">
        <v>384</v>
      </c>
      <c r="D75" t="s">
        <v>299</v>
      </c>
      <c r="E75" t="s">
        <v>300</v>
      </c>
      <c r="F75" s="3">
        <f>0</f>
        <v>0</v>
      </c>
      <c r="G75" s="3">
        <v>1</v>
      </c>
      <c r="H75" s="4">
        <f>F75*G75</f>
        <v>0</v>
      </c>
      <c r="I75" s="3">
        <v>0</v>
      </c>
      <c r="J75" s="6" t="s">
        <v>385</v>
      </c>
      <c r="K75" t="s">
        <v>16</v>
      </c>
      <c r="L75" s="5" t="str">
        <f>IF(OR(G75&lt;1,I75&lt;0),"\u203c","OK")</f>
        <v>OK</v>
      </c>
    </row>
    <row r="76" ht="18" customHeight="1" spans="1:12">
      <c r="A76" t="s">
        <v>202</v>
      </c>
      <c r="B76" t="s">
        <v>9</v>
      </c>
      <c r="C76" t="s">
        <v>386</v>
      </c>
      <c r="D76" t="s">
        <v>113</v>
      </c>
      <c r="E76" t="s">
        <v>116</v>
      </c>
      <c r="F76" s="3">
        <f>怪物总览!L21</f>
        <v>16</v>
      </c>
      <c r="G76" s="3">
        <v>1</v>
      </c>
      <c r="H76" s="4">
        <f>F76*G76</f>
        <v>16</v>
      </c>
      <c r="I76" s="3">
        <v>0</v>
      </c>
      <c r="J76" t="s">
        <v>40</v>
      </c>
      <c r="K76" t="s">
        <v>16</v>
      </c>
      <c r="L76" s="5" t="str">
        <f>IF(OR(G76&lt;1,I76&lt;0),"\u203c","OK")</f>
        <v>OK</v>
      </c>
    </row>
    <row r="77" ht="18" customHeight="1" spans="1:12">
      <c r="A77" t="s">
        <v>207</v>
      </c>
      <c r="B77" t="s">
        <v>9</v>
      </c>
      <c r="C77" t="s">
        <v>387</v>
      </c>
      <c r="D77" t="s">
        <v>299</v>
      </c>
      <c r="E77" t="s">
        <v>300</v>
      </c>
      <c r="F77" s="3">
        <f>0</f>
        <v>0</v>
      </c>
      <c r="G77" s="3">
        <v>1</v>
      </c>
      <c r="H77" s="4">
        <f>F77*G77</f>
        <v>0</v>
      </c>
      <c r="I77" s="3">
        <v>0</v>
      </c>
      <c r="J77" t="s">
        <v>335</v>
      </c>
      <c r="K77" t="s">
        <v>16</v>
      </c>
      <c r="L77" s="5" t="str">
        <f>IF(OR(G77&lt;1,I77&lt;0),"\u203c","OK")</f>
        <v>OK</v>
      </c>
    </row>
    <row r="78" ht="18" customHeight="1" spans="1:12">
      <c r="A78" t="s">
        <v>207</v>
      </c>
      <c r="B78" t="s">
        <v>9</v>
      </c>
      <c r="C78" t="s">
        <v>388</v>
      </c>
      <c r="D78" t="s">
        <v>31</v>
      </c>
      <c r="E78" t="s">
        <v>315</v>
      </c>
      <c r="F78" s="3">
        <f>ROUND(怪物总览!L22/G78,0)</f>
        <v>9</v>
      </c>
      <c r="G78" s="3">
        <v>2</v>
      </c>
      <c r="H78" s="4">
        <f>F78*G78</f>
        <v>18</v>
      </c>
      <c r="I78" s="3">
        <v>0</v>
      </c>
      <c r="J78" t="s">
        <v>40</v>
      </c>
      <c r="K78" t="s">
        <v>16</v>
      </c>
      <c r="L78" s="5" t="str">
        <f>IF(OR(G78&lt;1,I78&lt;0),"\u203c","OK")</f>
        <v>OK</v>
      </c>
    </row>
    <row r="79" ht="18" customHeight="1" spans="1:12">
      <c r="A79" t="s">
        <v>207</v>
      </c>
      <c r="B79" t="s">
        <v>9</v>
      </c>
      <c r="C79" t="s">
        <v>336</v>
      </c>
      <c r="D79" t="s">
        <v>337</v>
      </c>
      <c r="E79" t="s">
        <v>115</v>
      </c>
      <c r="F79" s="3">
        <f>怪物总览!K22</f>
        <v>12</v>
      </c>
      <c r="G79" s="3">
        <v>1</v>
      </c>
      <c r="H79" s="4">
        <f>F79*G79</f>
        <v>12</v>
      </c>
      <c r="I79" s="3">
        <v>0</v>
      </c>
      <c r="J79" t="s">
        <v>354</v>
      </c>
      <c r="K79" t="s">
        <v>16</v>
      </c>
      <c r="L79" s="5" t="str">
        <f>IF(OR(G79&lt;1,I79&lt;0),"\u203c","OK")</f>
        <v>OK</v>
      </c>
    </row>
    <row r="80" ht="18" customHeight="1" spans="1:12">
      <c r="A80" t="s">
        <v>207</v>
      </c>
      <c r="B80" t="s">
        <v>9</v>
      </c>
      <c r="C80" t="s">
        <v>389</v>
      </c>
      <c r="D80" t="s">
        <v>113</v>
      </c>
      <c r="E80" t="s">
        <v>117</v>
      </c>
      <c r="F80" s="3">
        <f>怪物总览!M22</f>
        <v>26</v>
      </c>
      <c r="G80" s="3">
        <v>1</v>
      </c>
      <c r="H80" s="4">
        <f>F80*G80</f>
        <v>26</v>
      </c>
      <c r="I80" s="3">
        <v>0</v>
      </c>
      <c r="J80" t="s">
        <v>40</v>
      </c>
      <c r="K80" t="s">
        <v>16</v>
      </c>
      <c r="L80" s="5" t="str">
        <f>IF(OR(G80&lt;1,I80&lt;0),"\u203c","OK")</f>
        <v>OK</v>
      </c>
    </row>
    <row r="81" ht="18" customHeight="1" spans="1:12">
      <c r="A81" t="s">
        <v>212</v>
      </c>
      <c r="B81" t="s">
        <v>9</v>
      </c>
      <c r="C81" t="s">
        <v>390</v>
      </c>
      <c r="D81" t="s">
        <v>299</v>
      </c>
      <c r="E81" t="s">
        <v>300</v>
      </c>
      <c r="F81" s="3">
        <f>0</f>
        <v>0</v>
      </c>
      <c r="G81" s="3">
        <v>1</v>
      </c>
      <c r="H81" s="4">
        <f>F81*G81</f>
        <v>0</v>
      </c>
      <c r="I81" s="3">
        <v>0</v>
      </c>
      <c r="J81" t="s">
        <v>335</v>
      </c>
      <c r="K81" t="s">
        <v>16</v>
      </c>
      <c r="L81" s="5" t="str">
        <f>IF(OR(G81&lt;1,I81&lt;0),"\u203c","OK")</f>
        <v>OK</v>
      </c>
    </row>
    <row r="82" ht="18" customHeight="1" spans="1:12">
      <c r="A82" t="s">
        <v>212</v>
      </c>
      <c r="B82" t="s">
        <v>9</v>
      </c>
      <c r="C82" t="s">
        <v>391</v>
      </c>
      <c r="D82" t="s">
        <v>31</v>
      </c>
      <c r="E82" t="s">
        <v>315</v>
      </c>
      <c r="F82" s="3">
        <f>ROUND(怪物总览!L23/G82,0)</f>
        <v>6</v>
      </c>
      <c r="G82" s="3">
        <v>3</v>
      </c>
      <c r="H82" s="4">
        <f>F82*G82</f>
        <v>18</v>
      </c>
      <c r="I82" s="3">
        <v>0</v>
      </c>
      <c r="J82" t="s">
        <v>40</v>
      </c>
      <c r="K82" t="s">
        <v>16</v>
      </c>
      <c r="L82" s="5" t="str">
        <f>IF(OR(G82&lt;1,I82&lt;0),"\u203c","OK")</f>
        <v>OK</v>
      </c>
    </row>
    <row r="83" ht="18" customHeight="1" spans="1:12">
      <c r="A83" t="s">
        <v>212</v>
      </c>
      <c r="B83" t="s">
        <v>9</v>
      </c>
      <c r="C83" t="s">
        <v>312</v>
      </c>
      <c r="D83" t="s">
        <v>113</v>
      </c>
      <c r="E83" t="s">
        <v>115</v>
      </c>
      <c r="F83" s="3">
        <f>怪物总览!K23</f>
        <v>12</v>
      </c>
      <c r="G83" s="3">
        <v>1</v>
      </c>
      <c r="H83" s="4">
        <f>F83*G83</f>
        <v>12</v>
      </c>
      <c r="I83" s="3">
        <v>0</v>
      </c>
      <c r="J83" t="s">
        <v>40</v>
      </c>
      <c r="K83" t="s">
        <v>16</v>
      </c>
      <c r="L83" s="5" t="str">
        <f>IF(OR(G83&lt;1,I83&lt;0),"\u203c","OK")</f>
        <v>OK</v>
      </c>
    </row>
    <row r="84" ht="18" customHeight="1" spans="1:12">
      <c r="A84" t="s">
        <v>212</v>
      </c>
      <c r="B84" t="s">
        <v>9</v>
      </c>
      <c r="C84" t="s">
        <v>392</v>
      </c>
      <c r="D84" t="s">
        <v>113</v>
      </c>
      <c r="E84" t="s">
        <v>117</v>
      </c>
      <c r="F84" s="3">
        <f>怪物总览!M23</f>
        <v>26</v>
      </c>
      <c r="G84" s="3">
        <v>1</v>
      </c>
      <c r="H84" s="4">
        <f>F84*G84</f>
        <v>26</v>
      </c>
      <c r="I84" s="3">
        <v>0</v>
      </c>
      <c r="J84" t="s">
        <v>40</v>
      </c>
      <c r="K84" t="s">
        <v>16</v>
      </c>
      <c r="L84" s="5" t="str">
        <f>IF(OR(G84&lt;1,I84&lt;0),"\u203c","OK")</f>
        <v>OK</v>
      </c>
    </row>
    <row r="85" ht="18" customHeight="1" spans="1:12">
      <c r="A85" t="s">
        <v>217</v>
      </c>
      <c r="B85" t="s">
        <v>9</v>
      </c>
      <c r="C85" t="s">
        <v>393</v>
      </c>
      <c r="D85" t="s">
        <v>394</v>
      </c>
      <c r="E85" t="s">
        <v>300</v>
      </c>
      <c r="F85" s="3">
        <f>0</f>
        <v>0</v>
      </c>
      <c r="G85" s="3">
        <v>1</v>
      </c>
      <c r="H85" s="4">
        <f>F85*G85</f>
        <v>0</v>
      </c>
      <c r="I85" s="3">
        <v>0</v>
      </c>
      <c r="J85" t="s">
        <v>395</v>
      </c>
      <c r="K85" t="s">
        <v>16</v>
      </c>
      <c r="L85" s="5" t="str">
        <f>IF(OR(G85&lt;1,I85&lt;0),"\u203c","OK")</f>
        <v>OK</v>
      </c>
    </row>
    <row r="86" ht="18" customHeight="1" spans="1:12">
      <c r="A86" t="s">
        <v>217</v>
      </c>
      <c r="B86" t="s">
        <v>9</v>
      </c>
      <c r="C86" t="s">
        <v>396</v>
      </c>
      <c r="D86" t="s">
        <v>113</v>
      </c>
      <c r="E86" t="s">
        <v>115</v>
      </c>
      <c r="F86" s="3">
        <f>怪物总览!K24</f>
        <v>10</v>
      </c>
      <c r="G86" s="3">
        <v>1</v>
      </c>
      <c r="H86" s="4">
        <f>F86*G86</f>
        <v>10</v>
      </c>
      <c r="I86" s="3">
        <v>0</v>
      </c>
      <c r="J86" t="s">
        <v>40</v>
      </c>
      <c r="K86" t="s">
        <v>16</v>
      </c>
      <c r="L86" s="5" t="str">
        <f>IF(OR(G86&lt;1,I86&lt;0),"\u203c","OK")</f>
        <v>OK</v>
      </c>
    </row>
    <row r="87" ht="18" customHeight="1" spans="1:12">
      <c r="A87" t="s">
        <v>217</v>
      </c>
      <c r="B87" t="s">
        <v>9</v>
      </c>
      <c r="C87" t="s">
        <v>376</v>
      </c>
      <c r="D87" t="s">
        <v>113</v>
      </c>
      <c r="E87" t="s">
        <v>116</v>
      </c>
      <c r="F87" s="3">
        <f>怪物总览!L24</f>
        <v>14</v>
      </c>
      <c r="G87" s="3">
        <v>1</v>
      </c>
      <c r="H87" s="4">
        <f>F87*G87</f>
        <v>14</v>
      </c>
      <c r="I87" s="3">
        <v>0</v>
      </c>
      <c r="J87" t="s">
        <v>40</v>
      </c>
      <c r="K87" t="s">
        <v>16</v>
      </c>
      <c r="L87" s="5" t="str">
        <f>IF(OR(G87&lt;1,I87&lt;0),"\u203c","OK")</f>
        <v>OK</v>
      </c>
    </row>
    <row r="88" ht="18" customHeight="1" spans="1:12">
      <c r="A88" t="s">
        <v>217</v>
      </c>
      <c r="B88" t="s">
        <v>9</v>
      </c>
      <c r="C88" t="s">
        <v>397</v>
      </c>
      <c r="D88" t="s">
        <v>398</v>
      </c>
      <c r="E88" t="s">
        <v>300</v>
      </c>
      <c r="F88" s="3">
        <f>0</f>
        <v>0</v>
      </c>
      <c r="G88" s="3">
        <v>1</v>
      </c>
      <c r="H88" s="4">
        <f>F88*G88</f>
        <v>0</v>
      </c>
      <c r="I88" s="3">
        <f>怪物总览!N24</f>
        <v>19</v>
      </c>
      <c r="J88" t="s">
        <v>399</v>
      </c>
      <c r="K88" t="s">
        <v>16</v>
      </c>
      <c r="L88" s="5" t="str">
        <f>IF(OR(G88&lt;1,I88&lt;0),"\u203c","OK")</f>
        <v>OK</v>
      </c>
    </row>
    <row r="89" ht="18" customHeight="1" spans="1:12">
      <c r="A89" t="s">
        <v>221</v>
      </c>
      <c r="B89" t="s">
        <v>9</v>
      </c>
      <c r="C89" t="s">
        <v>367</v>
      </c>
      <c r="D89" t="s">
        <v>382</v>
      </c>
      <c r="E89" t="s">
        <v>300</v>
      </c>
      <c r="F89" s="3">
        <f>0</f>
        <v>0</v>
      </c>
      <c r="G89" s="3">
        <v>1</v>
      </c>
      <c r="H89" s="4">
        <f t="shared" ref="H89:H112" si="2">F89*G89</f>
        <v>0</v>
      </c>
      <c r="I89" s="3">
        <v>0</v>
      </c>
      <c r="J89" s="6" t="s">
        <v>400</v>
      </c>
      <c r="K89" t="s">
        <v>16</v>
      </c>
      <c r="L89" s="5" t="str">
        <f t="shared" ref="L89:L112" si="3">IF(OR(G89&lt;1,I89&lt;0),"\u203c","OK")</f>
        <v>OK</v>
      </c>
    </row>
    <row r="90" ht="18" customHeight="1" spans="1:12">
      <c r="A90" t="s">
        <v>221</v>
      </c>
      <c r="B90" t="s">
        <v>9</v>
      </c>
      <c r="C90" t="s">
        <v>373</v>
      </c>
      <c r="D90" t="s">
        <v>329</v>
      </c>
      <c r="E90" t="s">
        <v>115</v>
      </c>
      <c r="F90" s="3">
        <f>怪物总览!K25</f>
        <v>16</v>
      </c>
      <c r="G90" s="3">
        <v>1</v>
      </c>
      <c r="H90" s="4">
        <f t="shared" si="2"/>
        <v>16</v>
      </c>
      <c r="I90" s="3">
        <v>0</v>
      </c>
      <c r="J90" t="s">
        <v>301</v>
      </c>
      <c r="K90" t="s">
        <v>16</v>
      </c>
      <c r="L90" s="5" t="str">
        <f t="shared" si="3"/>
        <v>OK</v>
      </c>
    </row>
    <row r="91" ht="18" customHeight="1" spans="1:12">
      <c r="A91" t="s">
        <v>221</v>
      </c>
      <c r="B91" t="s">
        <v>9</v>
      </c>
      <c r="C91" t="s">
        <v>401</v>
      </c>
      <c r="D91" t="s">
        <v>113</v>
      </c>
      <c r="E91" t="s">
        <v>116</v>
      </c>
      <c r="F91" s="3">
        <f>怪物总览!L25</f>
        <v>23</v>
      </c>
      <c r="G91" s="3">
        <v>1</v>
      </c>
      <c r="H91" s="4">
        <f t="shared" si="2"/>
        <v>23</v>
      </c>
      <c r="I91" s="3">
        <v>0</v>
      </c>
      <c r="J91" t="s">
        <v>40</v>
      </c>
      <c r="K91" t="s">
        <v>16</v>
      </c>
      <c r="L91" s="5" t="str">
        <f t="shared" si="3"/>
        <v>OK</v>
      </c>
    </row>
    <row r="92" ht="18" customHeight="1" spans="1:12">
      <c r="A92" t="s">
        <v>221</v>
      </c>
      <c r="B92" t="s">
        <v>9</v>
      </c>
      <c r="C92" t="s">
        <v>402</v>
      </c>
      <c r="D92" t="s">
        <v>113</v>
      </c>
      <c r="E92" t="s">
        <v>117</v>
      </c>
      <c r="F92" s="3">
        <f>怪物总览!M25</f>
        <v>33</v>
      </c>
      <c r="G92" s="3">
        <v>1</v>
      </c>
      <c r="H92" s="4">
        <f t="shared" si="2"/>
        <v>33</v>
      </c>
      <c r="I92" s="3">
        <v>0</v>
      </c>
      <c r="J92" t="s">
        <v>40</v>
      </c>
      <c r="K92" t="s">
        <v>16</v>
      </c>
      <c r="L92" s="5" t="str">
        <f t="shared" si="3"/>
        <v>OK</v>
      </c>
    </row>
    <row r="93" ht="18" customHeight="1" spans="1:12">
      <c r="A93" t="s">
        <v>226</v>
      </c>
      <c r="B93" t="s">
        <v>9</v>
      </c>
      <c r="C93" t="s">
        <v>368</v>
      </c>
      <c r="D93" t="s">
        <v>306</v>
      </c>
      <c r="E93" t="s">
        <v>300</v>
      </c>
      <c r="F93" s="3">
        <f>0</f>
        <v>0</v>
      </c>
      <c r="G93" s="3">
        <v>1</v>
      </c>
      <c r="H93" s="4">
        <f t="shared" si="2"/>
        <v>0</v>
      </c>
      <c r="I93" s="3">
        <v>0</v>
      </c>
      <c r="J93" t="s">
        <v>369</v>
      </c>
      <c r="K93" t="s">
        <v>16</v>
      </c>
      <c r="L93" s="5" t="str">
        <f t="shared" si="3"/>
        <v>OK</v>
      </c>
    </row>
    <row r="94" ht="18" customHeight="1" spans="1:12">
      <c r="A94" t="s">
        <v>226</v>
      </c>
      <c r="B94" t="s">
        <v>9</v>
      </c>
      <c r="C94" t="s">
        <v>403</v>
      </c>
      <c r="D94" t="s">
        <v>113</v>
      </c>
      <c r="E94" t="s">
        <v>115</v>
      </c>
      <c r="F94" s="3">
        <f>怪物总览!K26</f>
        <v>13</v>
      </c>
      <c r="G94" s="3">
        <v>1</v>
      </c>
      <c r="H94" s="4">
        <f t="shared" si="2"/>
        <v>13</v>
      </c>
      <c r="I94" s="3">
        <v>0</v>
      </c>
      <c r="J94" t="s">
        <v>40</v>
      </c>
      <c r="K94" t="s">
        <v>16</v>
      </c>
      <c r="L94" s="5" t="str">
        <f t="shared" si="3"/>
        <v>OK</v>
      </c>
    </row>
    <row r="95" ht="18" customHeight="1" spans="1:12">
      <c r="A95" t="s">
        <v>226</v>
      </c>
      <c r="B95" t="s">
        <v>9</v>
      </c>
      <c r="C95" t="s">
        <v>404</v>
      </c>
      <c r="D95" t="s">
        <v>113</v>
      </c>
      <c r="E95" t="s">
        <v>116</v>
      </c>
      <c r="F95" s="3">
        <f>怪物总览!L26</f>
        <v>20</v>
      </c>
      <c r="G95" s="3">
        <v>1</v>
      </c>
      <c r="H95" s="4">
        <f t="shared" si="2"/>
        <v>20</v>
      </c>
      <c r="I95" s="3">
        <v>0</v>
      </c>
      <c r="J95" t="s">
        <v>40</v>
      </c>
      <c r="K95" t="s">
        <v>16</v>
      </c>
      <c r="L95" s="5" t="str">
        <f t="shared" si="3"/>
        <v>OK</v>
      </c>
    </row>
    <row r="96" ht="18" customHeight="1" spans="1:12">
      <c r="A96" t="s">
        <v>226</v>
      </c>
      <c r="B96" t="s">
        <v>9</v>
      </c>
      <c r="C96" t="s">
        <v>405</v>
      </c>
      <c r="D96" t="s">
        <v>113</v>
      </c>
      <c r="E96" t="s">
        <v>117</v>
      </c>
      <c r="F96" s="3">
        <f>怪物总览!M26</f>
        <v>28</v>
      </c>
      <c r="G96" s="3">
        <v>1</v>
      </c>
      <c r="H96" s="4">
        <f t="shared" si="2"/>
        <v>28</v>
      </c>
      <c r="I96" s="3">
        <v>0</v>
      </c>
      <c r="J96" t="s">
        <v>40</v>
      </c>
      <c r="K96" t="s">
        <v>16</v>
      </c>
      <c r="L96" s="5" t="str">
        <f t="shared" si="3"/>
        <v>OK</v>
      </c>
    </row>
    <row r="97" ht="18" customHeight="1" spans="1:12">
      <c r="A97" t="s">
        <v>231</v>
      </c>
      <c r="B97" t="s">
        <v>9</v>
      </c>
      <c r="C97" t="s">
        <v>406</v>
      </c>
      <c r="D97" t="s">
        <v>306</v>
      </c>
      <c r="E97" t="s">
        <v>300</v>
      </c>
      <c r="F97" s="3">
        <f>0</f>
        <v>0</v>
      </c>
      <c r="G97" s="3">
        <v>1</v>
      </c>
      <c r="H97" s="4">
        <f t="shared" si="2"/>
        <v>0</v>
      </c>
      <c r="I97" s="3">
        <v>0</v>
      </c>
      <c r="J97" t="s">
        <v>369</v>
      </c>
      <c r="K97" t="s">
        <v>16</v>
      </c>
      <c r="L97" s="5" t="str">
        <f t="shared" si="3"/>
        <v>OK</v>
      </c>
    </row>
    <row r="98" ht="18" customHeight="1" spans="1:12">
      <c r="A98" t="s">
        <v>231</v>
      </c>
      <c r="B98" t="s">
        <v>9</v>
      </c>
      <c r="C98" t="s">
        <v>407</v>
      </c>
      <c r="D98" t="s">
        <v>113</v>
      </c>
      <c r="E98" t="s">
        <v>115</v>
      </c>
      <c r="F98" s="3">
        <f>怪物总览!K27</f>
        <v>16</v>
      </c>
      <c r="G98" s="3">
        <v>1</v>
      </c>
      <c r="H98" s="4">
        <f t="shared" si="2"/>
        <v>16</v>
      </c>
      <c r="I98" s="3">
        <v>0</v>
      </c>
      <c r="J98" t="s">
        <v>40</v>
      </c>
      <c r="K98" t="s">
        <v>16</v>
      </c>
      <c r="L98" s="5" t="str">
        <f t="shared" si="3"/>
        <v>OK</v>
      </c>
    </row>
    <row r="99" ht="18" customHeight="1" spans="1:12">
      <c r="A99" t="s">
        <v>231</v>
      </c>
      <c r="B99" t="s">
        <v>9</v>
      </c>
      <c r="C99" t="s">
        <v>408</v>
      </c>
      <c r="D99" t="s">
        <v>31</v>
      </c>
      <c r="E99" t="s">
        <v>315</v>
      </c>
      <c r="F99" s="3">
        <f>ROUND(怪物总览!L27/G99,0)</f>
        <v>12</v>
      </c>
      <c r="G99" s="3">
        <v>2</v>
      </c>
      <c r="H99" s="4">
        <f t="shared" si="2"/>
        <v>24</v>
      </c>
      <c r="I99" s="3">
        <v>0</v>
      </c>
      <c r="J99" t="s">
        <v>40</v>
      </c>
      <c r="K99" t="s">
        <v>16</v>
      </c>
      <c r="L99" s="5" t="str">
        <f t="shared" si="3"/>
        <v>OK</v>
      </c>
    </row>
    <row r="100" ht="18" customHeight="1" spans="1:12">
      <c r="A100" t="s">
        <v>231</v>
      </c>
      <c r="B100" t="s">
        <v>9</v>
      </c>
      <c r="C100" t="s">
        <v>409</v>
      </c>
      <c r="D100" t="s">
        <v>113</v>
      </c>
      <c r="E100" t="s">
        <v>117</v>
      </c>
      <c r="F100" s="3">
        <f>怪物总览!M27</f>
        <v>33</v>
      </c>
      <c r="G100" s="3">
        <v>1</v>
      </c>
      <c r="H100" s="4">
        <f t="shared" si="2"/>
        <v>33</v>
      </c>
      <c r="I100" s="3">
        <v>0</v>
      </c>
      <c r="J100" t="s">
        <v>40</v>
      </c>
      <c r="K100" t="s">
        <v>16</v>
      </c>
      <c r="L100" s="5" t="str">
        <f t="shared" si="3"/>
        <v>OK</v>
      </c>
    </row>
    <row r="101" ht="18" customHeight="1" spans="1:12">
      <c r="A101" t="s">
        <v>236</v>
      </c>
      <c r="B101" t="s">
        <v>11</v>
      </c>
      <c r="C101" t="s">
        <v>410</v>
      </c>
      <c r="D101" t="s">
        <v>342</v>
      </c>
      <c r="E101" t="s">
        <v>300</v>
      </c>
      <c r="F101" s="3">
        <f>0</f>
        <v>0</v>
      </c>
      <c r="G101" s="3">
        <v>1</v>
      </c>
      <c r="H101" s="4">
        <f t="shared" si="2"/>
        <v>0</v>
      </c>
      <c r="I101" s="3">
        <f>怪物总览!N28</f>
        <v>21</v>
      </c>
      <c r="J101" t="s">
        <v>369</v>
      </c>
      <c r="K101" t="s">
        <v>411</v>
      </c>
      <c r="L101" s="5" t="str">
        <f t="shared" si="3"/>
        <v>OK</v>
      </c>
    </row>
    <row r="102" ht="18" customHeight="1" spans="1:12">
      <c r="A102" t="s">
        <v>236</v>
      </c>
      <c r="B102" t="s">
        <v>11</v>
      </c>
      <c r="C102" t="s">
        <v>412</v>
      </c>
      <c r="D102" t="s">
        <v>113</v>
      </c>
      <c r="E102" t="s">
        <v>115</v>
      </c>
      <c r="F102" s="3">
        <f>怪物总览!K28</f>
        <v>19</v>
      </c>
      <c r="G102" s="3">
        <v>1</v>
      </c>
      <c r="H102" s="4">
        <f t="shared" si="2"/>
        <v>19</v>
      </c>
      <c r="I102" s="3">
        <v>0</v>
      </c>
      <c r="J102" t="s">
        <v>40</v>
      </c>
      <c r="K102" t="s">
        <v>16</v>
      </c>
      <c r="L102" s="5" t="str">
        <f t="shared" si="3"/>
        <v>OK</v>
      </c>
    </row>
    <row r="103" ht="18" customHeight="1" spans="1:12">
      <c r="A103" t="s">
        <v>236</v>
      </c>
      <c r="B103" t="s">
        <v>11</v>
      </c>
      <c r="C103" t="s">
        <v>413</v>
      </c>
      <c r="D103" t="s">
        <v>348</v>
      </c>
      <c r="E103" t="s">
        <v>116</v>
      </c>
      <c r="F103" s="3">
        <f>怪物总览!L28</f>
        <v>29</v>
      </c>
      <c r="G103" s="3">
        <v>1</v>
      </c>
      <c r="H103" s="4">
        <f t="shared" si="2"/>
        <v>29</v>
      </c>
      <c r="I103" s="3">
        <v>0</v>
      </c>
      <c r="J103" t="s">
        <v>414</v>
      </c>
      <c r="K103" t="s">
        <v>16</v>
      </c>
      <c r="L103" s="5" t="str">
        <f t="shared" si="3"/>
        <v>OK</v>
      </c>
    </row>
    <row r="104" ht="18" customHeight="1" spans="1:12">
      <c r="A104" t="s">
        <v>236</v>
      </c>
      <c r="B104" t="s">
        <v>11</v>
      </c>
      <c r="C104" t="s">
        <v>415</v>
      </c>
      <c r="D104" t="s">
        <v>113</v>
      </c>
      <c r="E104" t="s">
        <v>117</v>
      </c>
      <c r="F104" s="3">
        <f>怪物总览!M28</f>
        <v>38</v>
      </c>
      <c r="G104" s="3">
        <v>1</v>
      </c>
      <c r="H104" s="4">
        <f t="shared" si="2"/>
        <v>38</v>
      </c>
      <c r="I104" s="3">
        <v>0</v>
      </c>
      <c r="J104" t="s">
        <v>40</v>
      </c>
      <c r="K104" t="s">
        <v>16</v>
      </c>
      <c r="L104" s="5" t="str">
        <f t="shared" si="3"/>
        <v>OK</v>
      </c>
    </row>
    <row r="105" ht="18" customHeight="1" spans="1:12">
      <c r="A105" t="s">
        <v>242</v>
      </c>
      <c r="B105" t="s">
        <v>11</v>
      </c>
      <c r="C105" t="s">
        <v>318</v>
      </c>
      <c r="D105" t="s">
        <v>342</v>
      </c>
      <c r="E105" t="s">
        <v>300</v>
      </c>
      <c r="F105" s="3">
        <f>0</f>
        <v>0</v>
      </c>
      <c r="G105" s="3">
        <v>1</v>
      </c>
      <c r="H105" s="4">
        <f t="shared" si="2"/>
        <v>0</v>
      </c>
      <c r="I105" s="3">
        <f>怪物总览!N29</f>
        <v>23</v>
      </c>
      <c r="J105" t="s">
        <v>369</v>
      </c>
      <c r="K105" t="s">
        <v>16</v>
      </c>
      <c r="L105" s="5" t="str">
        <f t="shared" si="3"/>
        <v>OK</v>
      </c>
    </row>
    <row r="106" ht="18" customHeight="1" spans="1:12">
      <c r="A106" t="s">
        <v>242</v>
      </c>
      <c r="B106" t="s">
        <v>11</v>
      </c>
      <c r="C106" t="s">
        <v>416</v>
      </c>
      <c r="D106" t="s">
        <v>113</v>
      </c>
      <c r="E106" t="s">
        <v>115</v>
      </c>
      <c r="F106" s="3">
        <f>怪物总览!K29</f>
        <v>21</v>
      </c>
      <c r="G106" s="3">
        <v>1</v>
      </c>
      <c r="H106" s="4">
        <f t="shared" si="2"/>
        <v>21</v>
      </c>
      <c r="I106" s="3">
        <v>0</v>
      </c>
      <c r="J106" t="s">
        <v>40</v>
      </c>
      <c r="K106" t="s">
        <v>16</v>
      </c>
      <c r="L106" s="5" t="str">
        <f t="shared" si="3"/>
        <v>OK</v>
      </c>
    </row>
    <row r="107" ht="18" customHeight="1" spans="1:12">
      <c r="A107" t="s">
        <v>242</v>
      </c>
      <c r="B107" t="s">
        <v>11</v>
      </c>
      <c r="C107" t="s">
        <v>417</v>
      </c>
      <c r="D107" t="s">
        <v>113</v>
      </c>
      <c r="E107" t="s">
        <v>116</v>
      </c>
      <c r="F107" s="3">
        <f>怪物总览!L29</f>
        <v>32</v>
      </c>
      <c r="G107" s="3">
        <v>1</v>
      </c>
      <c r="H107" s="4">
        <f t="shared" si="2"/>
        <v>32</v>
      </c>
      <c r="I107" s="3">
        <v>0</v>
      </c>
      <c r="J107" t="s">
        <v>40</v>
      </c>
      <c r="K107" t="s">
        <v>16</v>
      </c>
      <c r="L107" s="5" t="str">
        <f t="shared" si="3"/>
        <v>OK</v>
      </c>
    </row>
    <row r="108" ht="18" customHeight="1" spans="1:12">
      <c r="A108" t="s">
        <v>242</v>
      </c>
      <c r="B108" t="s">
        <v>11</v>
      </c>
      <c r="C108" t="s">
        <v>418</v>
      </c>
      <c r="D108" t="s">
        <v>348</v>
      </c>
      <c r="E108" t="s">
        <v>117</v>
      </c>
      <c r="F108" s="3">
        <f>怪物总览!M29</f>
        <v>43</v>
      </c>
      <c r="G108" s="3">
        <v>1</v>
      </c>
      <c r="H108" s="4">
        <f t="shared" si="2"/>
        <v>43</v>
      </c>
      <c r="I108" s="3">
        <v>0</v>
      </c>
      <c r="J108" s="6" t="s">
        <v>400</v>
      </c>
      <c r="K108" t="s">
        <v>16</v>
      </c>
      <c r="L108" s="5" t="str">
        <f t="shared" si="3"/>
        <v>OK</v>
      </c>
    </row>
    <row r="109" ht="18" customHeight="1" spans="1:12">
      <c r="A109" t="s">
        <v>248</v>
      </c>
      <c r="B109" t="s">
        <v>11</v>
      </c>
      <c r="C109" t="s">
        <v>419</v>
      </c>
      <c r="D109" t="s">
        <v>342</v>
      </c>
      <c r="E109" t="s">
        <v>300</v>
      </c>
      <c r="F109" s="3">
        <f>0</f>
        <v>0</v>
      </c>
      <c r="G109" s="3">
        <v>1</v>
      </c>
      <c r="H109" s="4">
        <f t="shared" si="2"/>
        <v>0</v>
      </c>
      <c r="I109" s="3">
        <f>怪物总览!N30</f>
        <v>29</v>
      </c>
      <c r="J109" t="s">
        <v>369</v>
      </c>
      <c r="K109" t="s">
        <v>16</v>
      </c>
      <c r="L109" s="5" t="str">
        <f t="shared" si="3"/>
        <v>OK</v>
      </c>
    </row>
    <row r="110" ht="18" customHeight="1" spans="1:12">
      <c r="A110" t="s">
        <v>248</v>
      </c>
      <c r="B110" t="s">
        <v>11</v>
      </c>
      <c r="C110" t="s">
        <v>420</v>
      </c>
      <c r="D110" t="s">
        <v>31</v>
      </c>
      <c r="E110" t="s">
        <v>315</v>
      </c>
      <c r="F110" s="3">
        <f>ROUND(怪物总览!L30/G110,0)</f>
        <v>12</v>
      </c>
      <c r="G110" s="3">
        <v>3</v>
      </c>
      <c r="H110" s="4">
        <f t="shared" si="2"/>
        <v>36</v>
      </c>
      <c r="I110" s="3">
        <v>0</v>
      </c>
      <c r="J110" t="s">
        <v>40</v>
      </c>
      <c r="K110" t="s">
        <v>16</v>
      </c>
      <c r="L110" s="5" t="str">
        <f t="shared" si="3"/>
        <v>OK</v>
      </c>
    </row>
    <row r="111" ht="18" customHeight="1" spans="1:12">
      <c r="A111" t="s">
        <v>248</v>
      </c>
      <c r="B111" t="s">
        <v>11</v>
      </c>
      <c r="C111" t="s">
        <v>421</v>
      </c>
      <c r="D111" t="s">
        <v>113</v>
      </c>
      <c r="E111" t="s">
        <v>116</v>
      </c>
      <c r="F111" s="3">
        <f>怪物总览!L30</f>
        <v>35</v>
      </c>
      <c r="G111" s="3">
        <v>1</v>
      </c>
      <c r="H111" s="4">
        <f t="shared" si="2"/>
        <v>35</v>
      </c>
      <c r="I111" s="3">
        <v>0</v>
      </c>
      <c r="J111" t="s">
        <v>40</v>
      </c>
      <c r="K111" t="s">
        <v>16</v>
      </c>
      <c r="L111" s="5" t="str">
        <f t="shared" si="3"/>
        <v>OK</v>
      </c>
    </row>
    <row r="112" ht="18" customHeight="1" spans="1:12">
      <c r="A112" t="s">
        <v>248</v>
      </c>
      <c r="B112" t="s">
        <v>11</v>
      </c>
      <c r="C112" t="s">
        <v>355</v>
      </c>
      <c r="D112" t="s">
        <v>113</v>
      </c>
      <c r="E112" t="s">
        <v>117</v>
      </c>
      <c r="F112" s="3">
        <f>怪物总览!M30</f>
        <v>46</v>
      </c>
      <c r="G112" s="3">
        <v>1</v>
      </c>
      <c r="H112" s="4">
        <f t="shared" si="2"/>
        <v>46</v>
      </c>
      <c r="I112" s="3">
        <v>0</v>
      </c>
      <c r="J112" t="s">
        <v>40</v>
      </c>
      <c r="K112" t="s">
        <v>16</v>
      </c>
      <c r="L112" s="5" t="str">
        <f t="shared" si="3"/>
        <v>OK</v>
      </c>
    </row>
    <row r="113" ht="18" customHeight="1" spans="1:12">
      <c r="A113" t="s">
        <v>254</v>
      </c>
      <c r="B113" t="s">
        <v>11</v>
      </c>
      <c r="C113" t="s">
        <v>422</v>
      </c>
      <c r="D113" t="s">
        <v>342</v>
      </c>
      <c r="E113" t="s">
        <v>300</v>
      </c>
      <c r="F113" s="3">
        <f>0</f>
        <v>0</v>
      </c>
      <c r="G113" s="3">
        <v>1</v>
      </c>
      <c r="H113" s="4">
        <f t="shared" ref="H113:H130" si="4">F113*G113</f>
        <v>0</v>
      </c>
      <c r="I113" s="3">
        <f>怪物总览!N31</f>
        <v>28</v>
      </c>
      <c r="J113" s="6" t="s">
        <v>423</v>
      </c>
      <c r="K113" t="s">
        <v>16</v>
      </c>
      <c r="L113" s="5" t="str">
        <f t="shared" ref="L113:L130" si="5">IF(OR(G113&lt;1,I113&lt;0),"\u203c","OK")</f>
        <v>OK</v>
      </c>
    </row>
    <row r="114" ht="18" customHeight="1" spans="1:12">
      <c r="A114" t="s">
        <v>254</v>
      </c>
      <c r="B114" t="s">
        <v>11</v>
      </c>
      <c r="C114" t="s">
        <v>424</v>
      </c>
      <c r="D114" t="s">
        <v>113</v>
      </c>
      <c r="E114" t="s">
        <v>115</v>
      </c>
      <c r="F114" s="3">
        <f>怪物总览!K31</f>
        <v>18</v>
      </c>
      <c r="G114" s="3">
        <v>1</v>
      </c>
      <c r="H114" s="4">
        <f t="shared" si="4"/>
        <v>18</v>
      </c>
      <c r="I114" s="3">
        <v>0</v>
      </c>
      <c r="J114" t="s">
        <v>40</v>
      </c>
      <c r="K114" t="s">
        <v>16</v>
      </c>
      <c r="L114" s="5" t="str">
        <f t="shared" si="5"/>
        <v>OK</v>
      </c>
    </row>
    <row r="115" ht="18" customHeight="1" spans="1:12">
      <c r="A115" t="s">
        <v>254</v>
      </c>
      <c r="B115" t="s">
        <v>11</v>
      </c>
      <c r="C115" t="s">
        <v>425</v>
      </c>
      <c r="D115" t="s">
        <v>31</v>
      </c>
      <c r="E115" t="s">
        <v>315</v>
      </c>
      <c r="F115" s="3">
        <f>ROUND(怪物总览!L31/G115,0)</f>
        <v>9</v>
      </c>
      <c r="G115" s="3">
        <v>3</v>
      </c>
      <c r="H115" s="4">
        <f t="shared" si="4"/>
        <v>27</v>
      </c>
      <c r="I115" s="3">
        <v>0</v>
      </c>
      <c r="J115" t="s">
        <v>40</v>
      </c>
      <c r="K115" t="s">
        <v>16</v>
      </c>
      <c r="L115" s="5" t="str">
        <f t="shared" si="5"/>
        <v>OK</v>
      </c>
    </row>
    <row r="116" ht="18" customHeight="1" spans="1:12">
      <c r="A116" t="s">
        <v>254</v>
      </c>
      <c r="B116" t="s">
        <v>11</v>
      </c>
      <c r="C116" t="s">
        <v>426</v>
      </c>
      <c r="D116" t="s">
        <v>113</v>
      </c>
      <c r="E116" t="s">
        <v>117</v>
      </c>
      <c r="F116" s="3">
        <f>怪物总览!M31</f>
        <v>36</v>
      </c>
      <c r="G116" s="3">
        <v>1</v>
      </c>
      <c r="H116" s="4">
        <f t="shared" si="4"/>
        <v>36</v>
      </c>
      <c r="I116" s="3">
        <v>0</v>
      </c>
      <c r="J116" t="s">
        <v>40</v>
      </c>
      <c r="K116" t="s">
        <v>16</v>
      </c>
      <c r="L116" s="5" t="str">
        <f t="shared" si="5"/>
        <v>OK</v>
      </c>
    </row>
    <row r="117" ht="18" customHeight="1" spans="1:12">
      <c r="A117" t="s">
        <v>260</v>
      </c>
      <c r="B117" t="s">
        <v>11</v>
      </c>
      <c r="C117" t="s">
        <v>427</v>
      </c>
      <c r="D117" t="s">
        <v>342</v>
      </c>
      <c r="E117" t="s">
        <v>300</v>
      </c>
      <c r="F117" s="3">
        <f>0</f>
        <v>0</v>
      </c>
      <c r="G117" s="3">
        <v>1</v>
      </c>
      <c r="H117" s="4">
        <f t="shared" si="4"/>
        <v>0</v>
      </c>
      <c r="I117" s="3">
        <f>怪物总览!N32</f>
        <v>32</v>
      </c>
      <c r="J117" s="6" t="s">
        <v>428</v>
      </c>
      <c r="L117" s="5" t="str">
        <f t="shared" si="5"/>
        <v>OK</v>
      </c>
    </row>
    <row r="118" ht="18" customHeight="1" spans="1:12">
      <c r="A118" t="s">
        <v>260</v>
      </c>
      <c r="B118" t="s">
        <v>11</v>
      </c>
      <c r="C118" t="s">
        <v>429</v>
      </c>
      <c r="D118" t="s">
        <v>113</v>
      </c>
      <c r="E118" t="s">
        <v>115</v>
      </c>
      <c r="F118" s="3">
        <f>怪物总览!K32</f>
        <v>24</v>
      </c>
      <c r="G118" s="3">
        <v>1</v>
      </c>
      <c r="H118" s="4">
        <f t="shared" si="4"/>
        <v>24</v>
      </c>
      <c r="I118" s="3">
        <v>0</v>
      </c>
      <c r="J118" t="s">
        <v>40</v>
      </c>
      <c r="K118" t="s">
        <v>16</v>
      </c>
      <c r="L118" s="5" t="str">
        <f t="shared" si="5"/>
        <v>OK</v>
      </c>
    </row>
    <row r="119" ht="18" customHeight="1" spans="1:12">
      <c r="A119" t="s">
        <v>260</v>
      </c>
      <c r="B119" t="s">
        <v>11</v>
      </c>
      <c r="C119" t="s">
        <v>430</v>
      </c>
      <c r="D119" t="s">
        <v>348</v>
      </c>
      <c r="E119" t="s">
        <v>116</v>
      </c>
      <c r="F119" s="3">
        <f>怪物总览!L32</f>
        <v>36</v>
      </c>
      <c r="G119" s="3">
        <v>1</v>
      </c>
      <c r="H119" s="4">
        <f t="shared" si="4"/>
        <v>36</v>
      </c>
      <c r="I119" s="3">
        <v>0</v>
      </c>
      <c r="J119" t="s">
        <v>431</v>
      </c>
      <c r="K119" t="s">
        <v>16</v>
      </c>
      <c r="L119" s="5" t="str">
        <f t="shared" si="5"/>
        <v>OK</v>
      </c>
    </row>
    <row r="120" ht="18" customHeight="1" spans="1:12">
      <c r="A120" t="s">
        <v>260</v>
      </c>
      <c r="B120" t="s">
        <v>11</v>
      </c>
      <c r="C120" t="s">
        <v>415</v>
      </c>
      <c r="D120" t="s">
        <v>113</v>
      </c>
      <c r="E120" t="s">
        <v>117</v>
      </c>
      <c r="F120" s="3">
        <f>怪物总览!M32</f>
        <v>48</v>
      </c>
      <c r="G120" s="3">
        <v>1</v>
      </c>
      <c r="H120" s="4">
        <f t="shared" si="4"/>
        <v>48</v>
      </c>
      <c r="I120" s="3">
        <v>0</v>
      </c>
      <c r="J120" t="s">
        <v>40</v>
      </c>
      <c r="K120" t="s">
        <v>16</v>
      </c>
      <c r="L120" s="5" t="str">
        <f t="shared" si="5"/>
        <v>OK</v>
      </c>
    </row>
    <row r="121" ht="18" customHeight="1" spans="1:12">
      <c r="A121" t="s">
        <v>264</v>
      </c>
      <c r="B121" t="s">
        <v>11</v>
      </c>
      <c r="C121" t="s">
        <v>432</v>
      </c>
      <c r="D121" t="s">
        <v>342</v>
      </c>
      <c r="E121" t="s">
        <v>300</v>
      </c>
      <c r="F121" s="3">
        <f>0</f>
        <v>0</v>
      </c>
      <c r="G121" s="3">
        <v>1</v>
      </c>
      <c r="H121" s="4">
        <f t="shared" si="4"/>
        <v>0</v>
      </c>
      <c r="I121" s="3">
        <f>怪物总览!N33</f>
        <v>25</v>
      </c>
      <c r="J121" s="6" t="s">
        <v>433</v>
      </c>
      <c r="K121" t="s">
        <v>434</v>
      </c>
      <c r="L121" s="5" t="str">
        <f t="shared" si="5"/>
        <v>OK</v>
      </c>
    </row>
    <row r="122" ht="18" customHeight="1" spans="1:12">
      <c r="A122" t="s">
        <v>264</v>
      </c>
      <c r="B122" t="s">
        <v>11</v>
      </c>
      <c r="C122" t="s">
        <v>435</v>
      </c>
      <c r="D122" t="s">
        <v>113</v>
      </c>
      <c r="E122" t="s">
        <v>115</v>
      </c>
      <c r="F122" s="3">
        <f>怪物总览!K33</f>
        <v>26</v>
      </c>
      <c r="G122" s="3">
        <v>1</v>
      </c>
      <c r="H122" s="4">
        <f t="shared" si="4"/>
        <v>26</v>
      </c>
      <c r="I122" s="3">
        <v>0</v>
      </c>
      <c r="J122" t="s">
        <v>40</v>
      </c>
      <c r="K122" t="s">
        <v>16</v>
      </c>
      <c r="L122" s="5" t="str">
        <f t="shared" si="5"/>
        <v>OK</v>
      </c>
    </row>
    <row r="123" ht="18" customHeight="1" spans="1:12">
      <c r="A123" t="s">
        <v>264</v>
      </c>
      <c r="B123" t="s">
        <v>11</v>
      </c>
      <c r="C123" t="s">
        <v>436</v>
      </c>
      <c r="D123" t="s">
        <v>337</v>
      </c>
      <c r="E123" t="s">
        <v>116</v>
      </c>
      <c r="F123" s="3">
        <f>怪物总览!L33</f>
        <v>39</v>
      </c>
      <c r="G123" s="3">
        <v>1</v>
      </c>
      <c r="H123" s="4">
        <f t="shared" si="4"/>
        <v>39</v>
      </c>
      <c r="I123" s="3">
        <v>0</v>
      </c>
      <c r="J123" t="s">
        <v>437</v>
      </c>
      <c r="K123" t="s">
        <v>16</v>
      </c>
      <c r="L123" s="5" t="str">
        <f t="shared" si="5"/>
        <v>OK</v>
      </c>
    </row>
    <row r="124" ht="18" customHeight="1" spans="1:12">
      <c r="A124" t="s">
        <v>264</v>
      </c>
      <c r="B124" t="s">
        <v>11</v>
      </c>
      <c r="C124" t="s">
        <v>438</v>
      </c>
      <c r="D124" t="s">
        <v>113</v>
      </c>
      <c r="E124" t="s">
        <v>117</v>
      </c>
      <c r="F124" s="3">
        <f>怪物总览!M33</f>
        <v>52</v>
      </c>
      <c r="G124" s="3">
        <v>1</v>
      </c>
      <c r="H124" s="4">
        <f t="shared" si="4"/>
        <v>52</v>
      </c>
      <c r="I124" s="3">
        <v>0</v>
      </c>
      <c r="J124" t="s">
        <v>40</v>
      </c>
      <c r="K124" t="s">
        <v>16</v>
      </c>
      <c r="L124" s="5" t="str">
        <f t="shared" si="5"/>
        <v>OK</v>
      </c>
    </row>
    <row r="125" ht="18" customHeight="1" spans="1:12">
      <c r="A125" t="s">
        <v>270</v>
      </c>
      <c r="B125" t="s">
        <v>11</v>
      </c>
      <c r="C125" t="s">
        <v>439</v>
      </c>
      <c r="D125" t="s">
        <v>306</v>
      </c>
      <c r="E125" t="s">
        <v>300</v>
      </c>
      <c r="F125" s="3">
        <f>0</f>
        <v>0</v>
      </c>
      <c r="G125" s="3">
        <v>1</v>
      </c>
      <c r="H125" s="4">
        <f t="shared" si="4"/>
        <v>0</v>
      </c>
      <c r="I125" s="3">
        <v>0</v>
      </c>
      <c r="J125" t="s">
        <v>440</v>
      </c>
      <c r="K125" t="s">
        <v>16</v>
      </c>
      <c r="L125" s="5" t="str">
        <f t="shared" si="5"/>
        <v>OK</v>
      </c>
    </row>
    <row r="126" ht="18" customHeight="1" spans="1:12">
      <c r="A126" t="s">
        <v>270</v>
      </c>
      <c r="B126" t="s">
        <v>11</v>
      </c>
      <c r="C126" t="s">
        <v>441</v>
      </c>
      <c r="D126" t="s">
        <v>329</v>
      </c>
      <c r="E126" t="s">
        <v>115</v>
      </c>
      <c r="F126" s="3">
        <f>怪物总览!K34</f>
        <v>26</v>
      </c>
      <c r="G126" s="3">
        <v>1</v>
      </c>
      <c r="H126" s="4">
        <f t="shared" si="4"/>
        <v>26</v>
      </c>
      <c r="I126" s="3">
        <v>0</v>
      </c>
      <c r="J126" s="6" t="s">
        <v>442</v>
      </c>
      <c r="K126" t="s">
        <v>16</v>
      </c>
      <c r="L126" s="5" t="str">
        <f t="shared" si="5"/>
        <v>OK</v>
      </c>
    </row>
    <row r="127" ht="18" customHeight="1" spans="1:12">
      <c r="A127" t="s">
        <v>270</v>
      </c>
      <c r="B127" t="s">
        <v>11</v>
      </c>
      <c r="C127" t="s">
        <v>443</v>
      </c>
      <c r="D127" t="s">
        <v>337</v>
      </c>
      <c r="E127" t="s">
        <v>116</v>
      </c>
      <c r="F127" s="3">
        <f>怪物总览!L34</f>
        <v>39</v>
      </c>
      <c r="G127" s="3">
        <v>1</v>
      </c>
      <c r="H127" s="4">
        <f t="shared" si="4"/>
        <v>39</v>
      </c>
      <c r="I127" s="3">
        <v>0</v>
      </c>
      <c r="J127" t="s">
        <v>437</v>
      </c>
      <c r="K127" t="s">
        <v>16</v>
      </c>
      <c r="L127" s="5" t="str">
        <f t="shared" si="5"/>
        <v>OK</v>
      </c>
    </row>
    <row r="128" ht="18" customHeight="1" spans="1:12">
      <c r="A128" t="s">
        <v>270</v>
      </c>
      <c r="B128" t="s">
        <v>11</v>
      </c>
      <c r="C128" t="s">
        <v>444</v>
      </c>
      <c r="D128" t="s">
        <v>348</v>
      </c>
      <c r="E128" t="s">
        <v>117</v>
      </c>
      <c r="F128" s="3">
        <f>怪物总览!M34</f>
        <v>52</v>
      </c>
      <c r="G128" s="3">
        <v>1</v>
      </c>
      <c r="H128" s="4">
        <f t="shared" si="4"/>
        <v>52</v>
      </c>
      <c r="I128" s="3">
        <v>0</v>
      </c>
      <c r="J128" s="6" t="s">
        <v>445</v>
      </c>
      <c r="K128" t="s">
        <v>446</v>
      </c>
      <c r="L128" s="5" t="str">
        <f t="shared" si="5"/>
        <v>OK</v>
      </c>
    </row>
    <row r="129" ht="18" customHeight="1" spans="1:12">
      <c r="A129" t="s">
        <v>276</v>
      </c>
      <c r="B129" t="s">
        <v>277</v>
      </c>
      <c r="C129" t="s">
        <v>447</v>
      </c>
      <c r="D129" t="s">
        <v>447</v>
      </c>
      <c r="E129" t="s">
        <v>300</v>
      </c>
      <c r="F129" s="3">
        <f>0</f>
        <v>0</v>
      </c>
      <c r="G129" s="3">
        <v>1</v>
      </c>
      <c r="H129" s="4">
        <f t="shared" si="4"/>
        <v>0</v>
      </c>
      <c r="I129" s="3">
        <v>0</v>
      </c>
      <c r="J129" t="s">
        <v>448</v>
      </c>
      <c r="K129" t="s">
        <v>449</v>
      </c>
      <c r="L129" s="5" t="str">
        <f t="shared" si="5"/>
        <v>OK</v>
      </c>
    </row>
    <row r="130" ht="18" customHeight="1" spans="1:12">
      <c r="A130" t="s">
        <v>276</v>
      </c>
      <c r="B130" t="s">
        <v>277</v>
      </c>
      <c r="C130" t="s">
        <v>450</v>
      </c>
      <c r="D130" t="s">
        <v>451</v>
      </c>
      <c r="E130" t="s">
        <v>300</v>
      </c>
      <c r="F130" s="3">
        <f>0</f>
        <v>0</v>
      </c>
      <c r="G130" s="3">
        <v>1</v>
      </c>
      <c r="H130" s="4">
        <f t="shared" si="4"/>
        <v>0</v>
      </c>
      <c r="I130" s="3">
        <v>0</v>
      </c>
      <c r="J130" t="s">
        <v>452</v>
      </c>
      <c r="K130" s="6" t="s">
        <v>453</v>
      </c>
      <c r="L130" s="5" t="str">
        <f t="shared" si="5"/>
        <v>OK</v>
      </c>
    </row>
  </sheetData>
  <mergeCells count="1">
    <mergeCell ref="A1:L1"/>
  </mergeCells>
  <dataValidations count="1">
    <dataValidation type="list" sqref="D4:D15 D16:D20 D21:D40 D41:D84 D85:D88 D89:D130">
      <formula1>"攻击,多段攻击,防御,强化,削弱,塞牌,治疗,召唤,待机,削弱+攻击,攻击+削弱,攻击+塞牌,攻击+吸血,防御+强化,防御+净化,治疗+防御"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设计基准</vt:lpstr>
      <vt:lpstr>怪物总览</vt:lpstr>
      <vt:lpstr>招式表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沈宝硕</cp:lastModifiedBy>
  <dcterms:created xsi:type="dcterms:W3CDTF">2026-09-13T06:45:46Z</dcterms:created>
  <dcterms:modified xsi:type="dcterms:W3CDTF">2026-09-13T08:29:28Z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02EA68DE90B14B78955682B2E14DE439_12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